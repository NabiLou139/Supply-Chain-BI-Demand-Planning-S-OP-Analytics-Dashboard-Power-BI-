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GI\Data Science Portfolio\Projects\Supply Chain BI\Tableux de bord Supply Chain\"/>
    </mc:Choice>
  </mc:AlternateContent>
  <xr:revisionPtr revIDLastSave="0" documentId="13_ncr:1_{E9D71069-83C4-4F32-84D7-968F2AA44A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cap" sheetId="1" r:id="rId1"/>
    <sheet name=" Fact Caisse" sheetId="2" r:id="rId2"/>
  </sheets>
  <definedNames>
    <definedName name="_xlnm._FilterDatabase" localSheetId="1" hidden="1">' Fact Caisse'!$A$1:$I$1</definedName>
    <definedName name="_xlcn.WorksheetConnection_Objectives.xlsxCentral1" hidden="1">Central[]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 JAN_04a85f24-79b8-4521-a980-de66f8c504a9" name="Vent JAN" connection="Excel ANALYSE VENT"/>
          <x15:modelTable id="Central" name="Central" connection="WorksheetConnection_Objectives.xlsx!Central"/>
        </x15:modelTables>
      </x15:dataModel>
    </ext>
  </extLst>
</workbook>
</file>

<file path=xl/calcChain.xml><?xml version="1.0" encoding="utf-8"?>
<calcChain xmlns="http://schemas.openxmlformats.org/spreadsheetml/2006/main">
  <c r="I17" i="2" l="1"/>
  <c r="I27" i="2"/>
  <c r="I26" i="2"/>
  <c r="I25" i="2"/>
  <c r="I24" i="2"/>
  <c r="I23" i="2"/>
  <c r="I22" i="2"/>
  <c r="I21" i="2"/>
  <c r="I20" i="2"/>
  <c r="I19" i="2"/>
  <c r="I18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75EA1C-A5C1-4374-AE8E-C686CD58011F}" name="Excel ANALYSE VENT" type="100" refreshedVersion="0">
    <extLst>
      <ext xmlns:x15="http://schemas.microsoft.com/office/spreadsheetml/2010/11/main" uri="{DE250136-89BD-433C-8126-D09CA5730AF9}">
        <x15:connection id="dcd89f45-a23f-4c45-8cdf-dff9f9b32c1a"/>
      </ext>
    </extLst>
  </connection>
  <connection id="2" xr16:uid="{57C0607F-55E9-49E1-9A53-3FF494A4944C}" keepAlive="1" name="ThisWorkbookDataModel" description="Modèle de donnée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9F1A281-F5C7-423F-A3FD-012B817B792D}" name="WorksheetConnection_Objectives.xlsx!Central" type="102" refreshedVersion="7" minRefreshableVersion="5">
    <extLst>
      <ext xmlns:x15="http://schemas.microsoft.com/office/spreadsheetml/2010/11/main" uri="{DE250136-89BD-433C-8126-D09CA5730AF9}">
        <x15:connection id="Central">
          <x15:rangePr sourceName="_xlcn.WorksheetConnection_Objectives.xlsxCentral1"/>
        </x15:connection>
      </ext>
    </extLst>
  </connection>
</connections>
</file>

<file path=xl/sharedStrings.xml><?xml version="1.0" encoding="utf-8"?>
<sst xmlns="http://schemas.openxmlformats.org/spreadsheetml/2006/main" count="556" uniqueCount="169">
  <si>
    <t>Famille</t>
  </si>
  <si>
    <t>T.Produit</t>
  </si>
  <si>
    <t>Taille Produit</t>
  </si>
  <si>
    <t>Code</t>
  </si>
  <si>
    <t>Libellé</t>
  </si>
  <si>
    <t>Objective Janvier</t>
  </si>
  <si>
    <t>PPRODUIT FINI C</t>
  </si>
  <si>
    <t>Tomate</t>
  </si>
  <si>
    <t>400</t>
  </si>
  <si>
    <t>PFCT001</t>
  </si>
  <si>
    <t>CONCENTRÉ TOMATE NOUR 22% 380 GR</t>
  </si>
  <si>
    <t>800</t>
  </si>
  <si>
    <t>PFCT002</t>
  </si>
  <si>
    <t>CONCENTRÉ TOMATE NOUR 22% 760 GR</t>
  </si>
  <si>
    <t>135</t>
  </si>
  <si>
    <t>PFCT009</t>
  </si>
  <si>
    <t>DOUBLE CONCENTRÉ TOMATE 28% 135 GR</t>
  </si>
  <si>
    <t>PFCT011</t>
  </si>
  <si>
    <t>DOUBLE CONCENTRÉ TOMATE 28% 400 GR</t>
  </si>
  <si>
    <t>PFCT012</t>
  </si>
  <si>
    <t>DOUBLE CONCENTRÉ TOMATE 28% 800 GR</t>
  </si>
  <si>
    <t>Harissa</t>
  </si>
  <si>
    <t>PFCH013</t>
  </si>
  <si>
    <t>HARISSA 135 GR</t>
  </si>
  <si>
    <t>PFCH014</t>
  </si>
  <si>
    <t>HARISSA 760 GR</t>
  </si>
  <si>
    <t>PFCH015</t>
  </si>
  <si>
    <t>HARISSA 380 GR</t>
  </si>
  <si>
    <t>Confiture</t>
  </si>
  <si>
    <t>PFCC003</t>
  </si>
  <si>
    <t>CONFITURE ABRICOT 400 GR</t>
  </si>
  <si>
    <t>PFCC004</t>
  </si>
  <si>
    <t>CONFITURE ABRICOT 800 GR</t>
  </si>
  <si>
    <t>PFCC005</t>
  </si>
  <si>
    <t>CONFITURE D'ORANGE 400 GR</t>
  </si>
  <si>
    <t>PFCC006</t>
  </si>
  <si>
    <t>CONFITURE FIGUE 400 GR</t>
  </si>
  <si>
    <t>PFCC007</t>
  </si>
  <si>
    <t>CONFITURE FRAISE 400 GR</t>
  </si>
  <si>
    <t>PFCC008</t>
  </si>
  <si>
    <t>CONFITURE POMME 400 GR</t>
  </si>
  <si>
    <t>PFCC016</t>
  </si>
  <si>
    <t>CONFITURE EXTRA PECHE 400 GR</t>
  </si>
  <si>
    <t>PFCC017</t>
  </si>
  <si>
    <t>CONFITURE EXTRA FRAISE 400 GR</t>
  </si>
  <si>
    <t>PFCC018</t>
  </si>
  <si>
    <t>CONFITURE EXTRA POMME 400 GR</t>
  </si>
  <si>
    <t>PFCC020</t>
  </si>
  <si>
    <t>CONFITURE EXTRA D'ORANGE 400 GR</t>
  </si>
  <si>
    <t>PFCC022</t>
  </si>
  <si>
    <t>CONFITURE EXTRA ABRICOT 400 GR</t>
  </si>
  <si>
    <t>PFCC023</t>
  </si>
  <si>
    <t>Confiture Extra Trois Agrumes 400g</t>
  </si>
  <si>
    <t>PFCC019</t>
  </si>
  <si>
    <t>CONFITURE EXTRA FIGUE 400 GR</t>
  </si>
  <si>
    <t>PPRODUIT FINI MDN</t>
  </si>
  <si>
    <t>PFMC017</t>
  </si>
  <si>
    <t>CONFITURE ABRICOT 4/4</t>
  </si>
  <si>
    <t>PFMC018</t>
  </si>
  <si>
    <t>CONFITURE POMME 4/4</t>
  </si>
  <si>
    <t>PFMT016</t>
  </si>
  <si>
    <t>DOUBLE CONCENTRE DE TOMATE 4/4</t>
  </si>
  <si>
    <t>PFMC019</t>
  </si>
  <si>
    <t>CONFITURE D'ORANGE 4/4</t>
  </si>
  <si>
    <t>Product Type</t>
  </si>
  <si>
    <t>T.Condisinement</t>
  </si>
  <si>
    <t>C.libelle</t>
  </si>
  <si>
    <t>Fact</t>
  </si>
  <si>
    <t>TOMATE</t>
  </si>
  <si>
    <t>400 GR</t>
  </si>
  <si>
    <t>Caisse</t>
  </si>
  <si>
    <t>EMBC024</t>
  </si>
  <si>
    <t>CAISSE CONCENTRÉ TOMATE NOUR 22% 380 GR</t>
  </si>
  <si>
    <t>800 GR</t>
  </si>
  <si>
    <t>EMBC025</t>
  </si>
  <si>
    <t>CAISSE CONCENTRÉ TOMATE NOUR 22% 760 GR</t>
  </si>
  <si>
    <t>CONFITURE</t>
  </si>
  <si>
    <t>EMBC022</t>
  </si>
  <si>
    <t>CAISSE CONFITURE ABRICOT 400 GR</t>
  </si>
  <si>
    <t>EMBC023</t>
  </si>
  <si>
    <t>CAISSE CONFITURE ABRICOT 800 GR</t>
  </si>
  <si>
    <t>EMBC039</t>
  </si>
  <si>
    <t>CAISSE CONFITURE D'ORANGE 400 G</t>
  </si>
  <si>
    <t>EMBC027</t>
  </si>
  <si>
    <t>CAISSE CONFITURE DE FIGUE 400GR</t>
  </si>
  <si>
    <t>EMBC028</t>
  </si>
  <si>
    <t>CAISSE CONFITURE FRAISE 400GR</t>
  </si>
  <si>
    <t>EMBC063</t>
  </si>
  <si>
    <t xml:space="preserve">CAISSE CONFITURE POMME 400 gr </t>
  </si>
  <si>
    <t>135 GR</t>
  </si>
  <si>
    <t>EMBC035</t>
  </si>
  <si>
    <t>CAISSE DOUBLE CONCENTRÉ TOMATE 28% 135 GR(70 BOITES)</t>
  </si>
  <si>
    <t>EMBC032</t>
  </si>
  <si>
    <t>CAISSE DOUBLE CONCENTRÉ TOMATE 28% 400 G NOIR</t>
  </si>
  <si>
    <t>EMBC021</t>
  </si>
  <si>
    <t>CAISSE DOUBLE CONCENTRÉ DE TOMATE 800GR</t>
  </si>
  <si>
    <t>HARISSA</t>
  </si>
  <si>
    <t>EMBC037</t>
  </si>
  <si>
    <t>CAISSE HARISSA 135 GR (40 BOITE)</t>
  </si>
  <si>
    <t>EMBC036</t>
  </si>
  <si>
    <t>CAISSE HARISSA 760 GR</t>
  </si>
  <si>
    <t>EMBC038</t>
  </si>
  <si>
    <t>CAISSE HARISSA  380 GR</t>
  </si>
  <si>
    <t>EMBM026</t>
  </si>
  <si>
    <t>CAISSE CONFITURE D'ABRICOT 4/4 MDN</t>
  </si>
  <si>
    <t>EMBM033</t>
  </si>
  <si>
    <t>CAISSE DOUBLE CONCENTRE DE TOMATE 4/4 MDN</t>
  </si>
  <si>
    <t>EMBM030</t>
  </si>
  <si>
    <t>CAISSE CONFITURE POMME 4/4 MDN</t>
  </si>
  <si>
    <t>EMBM029</t>
  </si>
  <si>
    <t>CAISSE CONFITURE ORANGE 4/4 MDN</t>
  </si>
  <si>
    <t>EMBC31</t>
  </si>
  <si>
    <t>CAISSE CONFITURE Extar PECHE 400 GR</t>
  </si>
  <si>
    <t>EMBC060</t>
  </si>
  <si>
    <t>CAISSE CONFITURE EXTRA FRAISE 400GR</t>
  </si>
  <si>
    <t>EMBC064</t>
  </si>
  <si>
    <t>CAISSE CONFITURE EXTRA POMME 400 GR</t>
  </si>
  <si>
    <t>EMBCO67</t>
  </si>
  <si>
    <t>CAISSE CONFITURE EXTRA FIGUE 400 GR</t>
  </si>
  <si>
    <t>EMBC062</t>
  </si>
  <si>
    <t>CAISSE CONFITURE EXTRA D'ORANGE 400 GR</t>
  </si>
  <si>
    <t>EMBCO70</t>
  </si>
  <si>
    <t>CAISSE CONFITURE EXTRA ABRICOT 400 GR</t>
  </si>
  <si>
    <t>EMBC066</t>
  </si>
  <si>
    <t>CAISSE CONFITURE EXTRA TROIS AGRUMES</t>
  </si>
  <si>
    <t>PFCC021</t>
  </si>
  <si>
    <t>CONFITURE EXTRA ABRICOT 800 GR</t>
  </si>
  <si>
    <t>Code Condistionement</t>
  </si>
  <si>
    <t>BOITE</t>
  </si>
  <si>
    <t>EMBC005</t>
  </si>
  <si>
    <t>BOITE CONCENTRÉ TOMATE NOUR 22% 380 GR</t>
  </si>
  <si>
    <t>EMBC015</t>
  </si>
  <si>
    <t>BOITE CONCENTRÉ TOMATE NOUR 22% 760 GR</t>
  </si>
  <si>
    <t>EMBCO69</t>
  </si>
  <si>
    <t>BOITE CONFITURE EXTRA ABRICOT 400 GR</t>
  </si>
  <si>
    <t>EMBC003</t>
  </si>
  <si>
    <t>BOITE CONFITURE ABRICOT 800 GR</t>
  </si>
  <si>
    <t>EMBC061</t>
  </si>
  <si>
    <t>BOITE CONFITURE EXTRA D'ORANGE 400 GR</t>
  </si>
  <si>
    <t>EMBC011</t>
  </si>
  <si>
    <t>BOITE CONFITURE FIGUE 1/2</t>
  </si>
  <si>
    <t>EMBC059</t>
  </si>
  <si>
    <t>BOITE CONFITURE EXTRA FRAISE 400 GR</t>
  </si>
  <si>
    <t>EMBC065</t>
  </si>
  <si>
    <t>BOITE CONFITURE EXTRA POMME 400 GR</t>
  </si>
  <si>
    <t>EMBC010</t>
  </si>
  <si>
    <t>BOITE DOUBLE CONCENTRÉ TOMATE 28% 135 GR</t>
  </si>
  <si>
    <t>EMBC006</t>
  </si>
  <si>
    <t>BOITE DOUBLE CONCENTRÉ TOMATE 28% 400 G NOIR</t>
  </si>
  <si>
    <t>EMBC009</t>
  </si>
  <si>
    <t>BOITE DOUBLE CONCENTRÉ TOMATE 28% 800 GR</t>
  </si>
  <si>
    <t>EMBC014</t>
  </si>
  <si>
    <t>BOITE HARISSA 135 GR</t>
  </si>
  <si>
    <t>EMBC013</t>
  </si>
  <si>
    <t>BOITE HARISSA 760 GR</t>
  </si>
  <si>
    <t>EMBC012</t>
  </si>
  <si>
    <t>BOITE HARISSA 380 GR</t>
  </si>
  <si>
    <t>EMBM20</t>
  </si>
  <si>
    <t xml:space="preserve">BOITE CONFITURE Extra PECHE 400 GR </t>
  </si>
  <si>
    <t>EMBCO68</t>
  </si>
  <si>
    <t xml:space="preserve">BOITE CONFITURE TROIS AGRUME </t>
  </si>
  <si>
    <t>EMBM002</t>
  </si>
  <si>
    <t>BOITE CONFITURE D'ABRICOT 4/4 MDN</t>
  </si>
  <si>
    <t>EMBM008</t>
  </si>
  <si>
    <t>BOITE  DOUBLE CONCENTRE DE TOMATE 4/4 MDN</t>
  </si>
  <si>
    <t>EMBM019</t>
  </si>
  <si>
    <t>BOITE CONFITURE POMME 4/4 MDN</t>
  </si>
  <si>
    <t>EMBM017</t>
  </si>
  <si>
    <t>BOITE CONFITURE ORANGE 4/4 MDN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</si>
</sst>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_€_-;\-* #,##0\ _€_-;_-* &quot;-&quot;??\ _€_-;_-@_-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Daytona"/>
      <family val="2"/>
    </font>
    <font>
      <sz val="9"/>
      <color theme="1"/>
      <name val="Daytona"/>
      <family val="2"/>
    </font>
    <font>
      <b/>
      <sz val="9"/>
      <color theme="1"/>
      <name val="Daytona"/>
      <family val="2"/>
    </font>
    <font>
      <sz val="12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right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0" fillId="0" borderId="0" xfId="0" applyNumberFormat="1"/>
    <xf numFmtId="165" fontId="8" fillId="2" borderId="4" xfId="1" applyNumberFormat="1" applyFont="1" applyFill="1" applyBorder="1" applyAlignment="1">
      <alignment horizontal="center" vertical="center"/>
    </xf>
    <xf numFmtId="0" fontId="2" fillId="3" borderId="5" xfId="0" applyFont="1" applyFill="1" applyBorder="1"/>
    <xf numFmtId="0" fontId="2" fillId="3" borderId="6" xfId="0" applyFont="1" applyFill="1" applyBorder="1"/>
    <xf numFmtId="0" fontId="2" fillId="3" borderId="0" xfId="0" applyFont="1" applyFill="1"/>
    <xf numFmtId="0" fontId="0" fillId="4" borderId="5" xfId="0" applyFill="1" applyBorder="1"/>
    <xf numFmtId="0" fontId="0" fillId="4" borderId="6" xfId="0" applyFill="1" applyBorder="1"/>
    <xf numFmtId="0" fontId="0" fillId="4" borderId="0" xfId="0" applyFill="1"/>
    <xf numFmtId="0" fontId="0" fillId="0" borderId="5" xfId="0" applyBorder="1"/>
    <xf numFmtId="0" fontId="0" fillId="0" borderId="6" xfId="0" applyBorder="1"/>
  </cellXfs>
  <cellStyles count="2">
    <cellStyle name="Milliers" xfId="1" builtinId="3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yto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yton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ytona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yto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yto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ayton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ytona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2B8C5-C2CE-4CED-A1E0-A4102587BA98}" name="Central" displayName="Central" ref="A1:F26" totalsRowShown="0" headerRowDxfId="6" dataDxfId="5">
  <autoFilter ref="A1:F26" xr:uid="{B9D2B8C5-C2CE-4CED-A1E0-A4102587BA98}"/>
  <tableColumns count="6">
    <tableColumn id="1" xr3:uid="{95732E54-83C4-4146-A5D4-B9AEFCB8EDD0}" name="Famille" dataDxfId="4"/>
    <tableColumn id="2" xr3:uid="{94E243B5-3B04-43EE-AA1B-FBB76D2011DD}" name="T.Produit" dataDxfId="3"/>
    <tableColumn id="3" xr3:uid="{D83075B0-386E-4EDF-BE32-CA2A8DE249B4}" name="Taille Produit" dataDxfId="2"/>
    <tableColumn id="4" xr3:uid="{2CF17E87-7265-4DA4-988D-608DB33E2B6F}" name="Code" dataDxfId="1"/>
    <tableColumn id="5" xr3:uid="{102A5193-9681-423C-83DB-D5C8BC140CB4}" name="Libellé" dataDxfId="0"/>
    <tableColumn id="6" xr3:uid="{F6A5F7FD-9912-4B49-ABA7-FD81EC455213}" name="Objective Janv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19" bestFit="1" customWidth="1"/>
    <col min="2" max="2" width="16" bestFit="1" customWidth="1"/>
    <col min="3" max="3" width="20.5703125" bestFit="1" customWidth="1"/>
    <col min="4" max="4" width="11.28515625" bestFit="1" customWidth="1"/>
    <col min="5" max="5" width="37.28515625" bestFit="1" customWidth="1"/>
    <col min="6" max="6" width="24.7109375" bestFit="1" customWidth="1"/>
  </cols>
  <sheetData>
    <row r="1" spans="1:6" ht="17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thickBot="1" x14ac:dyDescent="0.35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4">
        <v>2400000</v>
      </c>
    </row>
    <row r="3" spans="1:6" ht="15.75" x14ac:dyDescent="0.3">
      <c r="A3" s="2" t="s">
        <v>6</v>
      </c>
      <c r="B3" s="2" t="s">
        <v>7</v>
      </c>
      <c r="C3" s="3" t="s">
        <v>11</v>
      </c>
      <c r="D3" s="3" t="s">
        <v>12</v>
      </c>
      <c r="E3" s="2" t="s">
        <v>13</v>
      </c>
      <c r="F3" s="5">
        <v>720000</v>
      </c>
    </row>
    <row r="4" spans="1:6" ht="16.5" thickBot="1" x14ac:dyDescent="0.35">
      <c r="A4" s="2" t="s">
        <v>6</v>
      </c>
      <c r="B4" s="2" t="s">
        <v>7</v>
      </c>
      <c r="C4" s="3" t="s">
        <v>14</v>
      </c>
      <c r="D4" s="3" t="s">
        <v>15</v>
      </c>
      <c r="E4" s="2" t="s">
        <v>16</v>
      </c>
      <c r="F4" s="4">
        <v>1487730.33333333</v>
      </c>
    </row>
    <row r="5" spans="1:6" ht="16.5" thickBot="1" x14ac:dyDescent="0.35">
      <c r="A5" s="2" t="s">
        <v>6</v>
      </c>
      <c r="B5" s="2" t="s">
        <v>7</v>
      </c>
      <c r="C5" s="3" t="s">
        <v>8</v>
      </c>
      <c r="D5" s="3" t="s">
        <v>17</v>
      </c>
      <c r="E5" s="2" t="s">
        <v>18</v>
      </c>
      <c r="F5" s="4">
        <v>3400000</v>
      </c>
    </row>
    <row r="6" spans="1:6" ht="15.75" x14ac:dyDescent="0.3">
      <c r="A6" s="2" t="s">
        <v>6</v>
      </c>
      <c r="B6" s="2" t="s">
        <v>7</v>
      </c>
      <c r="C6" s="3" t="s">
        <v>11</v>
      </c>
      <c r="D6" s="3" t="s">
        <v>19</v>
      </c>
      <c r="E6" s="2" t="s">
        <v>20</v>
      </c>
      <c r="F6" s="5">
        <v>4560000</v>
      </c>
    </row>
    <row r="7" spans="1:6" ht="15.75" x14ac:dyDescent="0.3">
      <c r="A7" s="2" t="s">
        <v>6</v>
      </c>
      <c r="B7" s="2" t="s">
        <v>21</v>
      </c>
      <c r="C7" s="3" t="s">
        <v>14</v>
      </c>
      <c r="D7" s="3" t="s">
        <v>22</v>
      </c>
      <c r="E7" s="2" t="s">
        <v>23</v>
      </c>
      <c r="F7" s="10">
        <v>10000</v>
      </c>
    </row>
    <row r="8" spans="1:6" ht="15.75" x14ac:dyDescent="0.3">
      <c r="A8" s="2" t="s">
        <v>6</v>
      </c>
      <c r="B8" s="2" t="s">
        <v>21</v>
      </c>
      <c r="C8" s="3" t="s">
        <v>11</v>
      </c>
      <c r="D8" s="3" t="s">
        <v>24</v>
      </c>
      <c r="E8" s="2" t="s">
        <v>25</v>
      </c>
      <c r="F8" s="6">
        <v>1608000</v>
      </c>
    </row>
    <row r="9" spans="1:6" ht="15.75" x14ac:dyDescent="0.3">
      <c r="A9" s="2" t="s">
        <v>6</v>
      </c>
      <c r="B9" s="2" t="s">
        <v>21</v>
      </c>
      <c r="C9" s="3" t="s">
        <v>8</v>
      </c>
      <c r="D9" s="3" t="s">
        <v>26</v>
      </c>
      <c r="E9" s="2" t="s">
        <v>27</v>
      </c>
      <c r="F9">
        <v>80000</v>
      </c>
    </row>
    <row r="10" spans="1:6" ht="16.5" thickBot="1" x14ac:dyDescent="0.35">
      <c r="A10" s="2" t="s">
        <v>6</v>
      </c>
      <c r="B10" s="2" t="s">
        <v>28</v>
      </c>
      <c r="C10" s="3" t="s">
        <v>8</v>
      </c>
      <c r="D10" s="3" t="s">
        <v>29</v>
      </c>
      <c r="E10" s="2" t="s">
        <v>30</v>
      </c>
      <c r="F10" s="4">
        <v>3480000</v>
      </c>
    </row>
    <row r="11" spans="1:6" ht="15.75" x14ac:dyDescent="0.3">
      <c r="A11" s="2" t="s">
        <v>6</v>
      </c>
      <c r="B11" s="2" t="s">
        <v>28</v>
      </c>
      <c r="C11" s="3" t="s">
        <v>11</v>
      </c>
      <c r="D11" s="3" t="s">
        <v>31</v>
      </c>
      <c r="E11" s="2" t="s">
        <v>32</v>
      </c>
      <c r="F11" s="7">
        <v>360000</v>
      </c>
    </row>
    <row r="12" spans="1:6" ht="15.75" x14ac:dyDescent="0.3">
      <c r="A12" s="2" t="s">
        <v>6</v>
      </c>
      <c r="B12" s="2" t="s">
        <v>28</v>
      </c>
      <c r="C12" s="3" t="s">
        <v>8</v>
      </c>
      <c r="D12" s="3" t="s">
        <v>33</v>
      </c>
      <c r="E12" s="2" t="s">
        <v>34</v>
      </c>
      <c r="F12" s="6">
        <v>96000</v>
      </c>
    </row>
    <row r="13" spans="1:6" ht="15.75" x14ac:dyDescent="0.3">
      <c r="A13" s="2" t="s">
        <v>6</v>
      </c>
      <c r="B13" s="2" t="s">
        <v>28</v>
      </c>
      <c r="C13" s="3" t="s">
        <v>8</v>
      </c>
      <c r="D13" s="3" t="s">
        <v>35</v>
      </c>
      <c r="E13" s="2" t="s">
        <v>36</v>
      </c>
      <c r="F13" s="6">
        <v>48000</v>
      </c>
    </row>
    <row r="14" spans="1:6" ht="15.75" x14ac:dyDescent="0.3">
      <c r="A14" s="2" t="s">
        <v>6</v>
      </c>
      <c r="B14" s="2" t="s">
        <v>28</v>
      </c>
      <c r="C14" s="3" t="s">
        <v>8</v>
      </c>
      <c r="D14" s="3" t="s">
        <v>37</v>
      </c>
      <c r="E14" s="2" t="s">
        <v>38</v>
      </c>
      <c r="F14" s="6">
        <v>520000</v>
      </c>
    </row>
    <row r="15" spans="1:6" ht="15.75" x14ac:dyDescent="0.3">
      <c r="A15" s="2" t="s">
        <v>6</v>
      </c>
      <c r="B15" s="2" t="s">
        <v>28</v>
      </c>
      <c r="C15" s="3" t="s">
        <v>8</v>
      </c>
      <c r="D15" s="8" t="s">
        <v>39</v>
      </c>
      <c r="E15" s="2" t="s">
        <v>40</v>
      </c>
      <c r="F15" s="6">
        <v>96000</v>
      </c>
    </row>
    <row r="16" spans="1:6" ht="15.75" x14ac:dyDescent="0.3">
      <c r="A16" s="2" t="s">
        <v>6</v>
      </c>
      <c r="B16" s="2" t="s">
        <v>28</v>
      </c>
      <c r="C16" s="3" t="s">
        <v>8</v>
      </c>
      <c r="D16" s="3" t="s">
        <v>41</v>
      </c>
      <c r="E16" s="2" t="s">
        <v>42</v>
      </c>
      <c r="F16" s="6">
        <v>48000</v>
      </c>
    </row>
    <row r="17" spans="1:6" ht="15.75" x14ac:dyDescent="0.3">
      <c r="A17" s="2" t="s">
        <v>6</v>
      </c>
      <c r="B17" s="2" t="s">
        <v>28</v>
      </c>
      <c r="C17" s="3" t="s">
        <v>8</v>
      </c>
      <c r="D17" s="3" t="s">
        <v>43</v>
      </c>
      <c r="E17" s="2" t="s">
        <v>44</v>
      </c>
      <c r="F17" s="6">
        <v>520000</v>
      </c>
    </row>
    <row r="18" spans="1:6" ht="15.75" x14ac:dyDescent="0.3">
      <c r="A18" s="2" t="s">
        <v>6</v>
      </c>
      <c r="B18" s="2" t="s">
        <v>28</v>
      </c>
      <c r="C18" s="3" t="s">
        <v>8</v>
      </c>
      <c r="D18" s="3" t="s">
        <v>45</v>
      </c>
      <c r="E18" s="2" t="s">
        <v>46</v>
      </c>
      <c r="F18" s="6">
        <v>96000</v>
      </c>
    </row>
    <row r="19" spans="1:6" ht="16.5" thickBot="1" x14ac:dyDescent="0.35">
      <c r="A19" s="2" t="s">
        <v>6</v>
      </c>
      <c r="B19" s="2" t="s">
        <v>28</v>
      </c>
      <c r="C19" s="3" t="s">
        <v>8</v>
      </c>
      <c r="D19" s="3" t="s">
        <v>47</v>
      </c>
      <c r="E19" s="2" t="s">
        <v>48</v>
      </c>
      <c r="F19" s="6">
        <v>96000</v>
      </c>
    </row>
    <row r="20" spans="1:6" ht="16.5" thickBot="1" x14ac:dyDescent="0.35">
      <c r="A20" s="2" t="s">
        <v>6</v>
      </c>
      <c r="B20" s="2" t="s">
        <v>28</v>
      </c>
      <c r="C20" s="3" t="s">
        <v>8</v>
      </c>
      <c r="D20" s="3" t="s">
        <v>49</v>
      </c>
      <c r="E20" s="2" t="s">
        <v>50</v>
      </c>
      <c r="F20" s="7">
        <v>360000</v>
      </c>
    </row>
    <row r="21" spans="1:6" ht="16.5" thickBot="1" x14ac:dyDescent="0.35">
      <c r="A21" s="2" t="s">
        <v>6</v>
      </c>
      <c r="B21" s="2" t="s">
        <v>28</v>
      </c>
      <c r="C21" s="3" t="s">
        <v>8</v>
      </c>
      <c r="D21" s="3" t="s">
        <v>51</v>
      </c>
      <c r="E21" s="2" t="s">
        <v>52</v>
      </c>
      <c r="F21" s="7">
        <v>360000</v>
      </c>
    </row>
    <row r="22" spans="1:6" ht="15.75" x14ac:dyDescent="0.3">
      <c r="A22" s="2" t="s">
        <v>6</v>
      </c>
      <c r="B22" s="2" t="s">
        <v>28</v>
      </c>
      <c r="C22" s="3" t="s">
        <v>8</v>
      </c>
      <c r="D22" s="3" t="s">
        <v>53</v>
      </c>
      <c r="E22" s="2" t="s">
        <v>54</v>
      </c>
      <c r="F22" s="7">
        <v>360000</v>
      </c>
    </row>
    <row r="23" spans="1:6" ht="15.75" x14ac:dyDescent="0.3">
      <c r="A23" t="s">
        <v>55</v>
      </c>
      <c r="B23" t="s">
        <v>28</v>
      </c>
      <c r="C23" s="9" t="s">
        <v>11</v>
      </c>
      <c r="D23" s="3" t="s">
        <v>56</v>
      </c>
      <c r="E23" t="s">
        <v>57</v>
      </c>
      <c r="F23">
        <v>0</v>
      </c>
    </row>
    <row r="24" spans="1:6" ht="15.75" x14ac:dyDescent="0.3">
      <c r="A24" t="s">
        <v>55</v>
      </c>
      <c r="B24" t="s">
        <v>28</v>
      </c>
      <c r="C24" s="9" t="s">
        <v>11</v>
      </c>
      <c r="D24" s="3" t="s">
        <v>58</v>
      </c>
      <c r="E24" t="s">
        <v>59</v>
      </c>
      <c r="F24">
        <v>0</v>
      </c>
    </row>
    <row r="25" spans="1:6" ht="15.75" x14ac:dyDescent="0.3">
      <c r="A25" s="2" t="s">
        <v>55</v>
      </c>
      <c r="B25" s="2" t="s">
        <v>7</v>
      </c>
      <c r="C25" s="3" t="s">
        <v>11</v>
      </c>
      <c r="D25" s="3" t="s">
        <v>60</v>
      </c>
      <c r="E25" s="2" t="s">
        <v>61</v>
      </c>
      <c r="F25" s="10">
        <v>200000</v>
      </c>
    </row>
    <row r="26" spans="1:6" ht="15.75" x14ac:dyDescent="0.3">
      <c r="A26" s="2" t="s">
        <v>55</v>
      </c>
      <c r="B26" s="2" t="s">
        <v>28</v>
      </c>
      <c r="C26" s="3" t="s">
        <v>11</v>
      </c>
      <c r="D26" s="3" t="s">
        <v>62</v>
      </c>
      <c r="E26" s="2" t="s">
        <v>63</v>
      </c>
      <c r="F26" s="11">
        <v>3500000</v>
      </c>
    </row>
  </sheetData>
  <conditionalFormatting sqref="F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{AFC1DF0C-5E47-42BA-A351-C76A26FDFCCA}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C1DF0C-5E47-42BA-A351-C76A26FDF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0EA4-94FD-418F-AE54-83B9CD96EB84}">
  <dimension ref="A1:I53"/>
  <sheetViews>
    <sheetView topLeftCell="C1" workbookViewId="0">
      <selection activeCell="G56" sqref="G56"/>
    </sheetView>
  </sheetViews>
  <sheetFormatPr baseColWidth="10" defaultRowHeight="15" x14ac:dyDescent="0.25"/>
  <cols>
    <col min="1" max="1" width="19.5703125" customWidth="1"/>
    <col min="2" max="2" width="16.42578125" customWidth="1"/>
    <col min="5" max="5" width="44.28515625" customWidth="1"/>
    <col min="6" max="6" width="30.140625" customWidth="1"/>
    <col min="7" max="7" width="18.7109375" customWidth="1"/>
    <col min="8" max="8" width="45.7109375" customWidth="1"/>
  </cols>
  <sheetData>
    <row r="1" spans="1:9" x14ac:dyDescent="0.25">
      <c r="A1" s="12" t="s">
        <v>0</v>
      </c>
      <c r="B1" s="13" t="s">
        <v>64</v>
      </c>
      <c r="C1" s="13" t="s">
        <v>2</v>
      </c>
      <c r="D1" s="13" t="s">
        <v>3</v>
      </c>
      <c r="E1" s="13" t="s">
        <v>4</v>
      </c>
      <c r="F1" s="14" t="s">
        <v>65</v>
      </c>
      <c r="G1" s="14" t="s">
        <v>127</v>
      </c>
      <c r="H1" s="14" t="s">
        <v>66</v>
      </c>
      <c r="I1" s="14" t="s">
        <v>67</v>
      </c>
    </row>
    <row r="2" spans="1:9" x14ac:dyDescent="0.25">
      <c r="A2" s="15" t="s">
        <v>6</v>
      </c>
      <c r="B2" s="16" t="s">
        <v>68</v>
      </c>
      <c r="C2" s="16" t="s">
        <v>69</v>
      </c>
      <c r="D2" s="16" t="s">
        <v>9</v>
      </c>
      <c r="E2" s="16" t="s">
        <v>10</v>
      </c>
      <c r="F2" s="17" t="s">
        <v>70</v>
      </c>
      <c r="G2" s="16" t="s">
        <v>71</v>
      </c>
      <c r="H2" s="16" t="s">
        <v>72</v>
      </c>
      <c r="I2">
        <f>1/24</f>
        <v>4.1666666666666664E-2</v>
      </c>
    </row>
    <row r="3" spans="1:9" x14ac:dyDescent="0.25">
      <c r="A3" s="18" t="s">
        <v>6</v>
      </c>
      <c r="B3" s="19" t="s">
        <v>68</v>
      </c>
      <c r="C3" s="19" t="s">
        <v>73</v>
      </c>
      <c r="D3" s="19" t="s">
        <v>12</v>
      </c>
      <c r="E3" s="19" t="s">
        <v>13</v>
      </c>
      <c r="F3" t="s">
        <v>70</v>
      </c>
      <c r="G3" s="19" t="s">
        <v>74</v>
      </c>
      <c r="H3" s="19" t="s">
        <v>75</v>
      </c>
      <c r="I3">
        <f t="shared" ref="I3" si="0">1/12</f>
        <v>8.3333333333333329E-2</v>
      </c>
    </row>
    <row r="4" spans="1:9" x14ac:dyDescent="0.25">
      <c r="A4" s="15" t="s">
        <v>6</v>
      </c>
      <c r="B4" s="16" t="s">
        <v>76</v>
      </c>
      <c r="C4" s="16" t="s">
        <v>69</v>
      </c>
      <c r="D4" s="16" t="s">
        <v>29</v>
      </c>
      <c r="E4" s="16" t="s">
        <v>30</v>
      </c>
      <c r="F4" s="17" t="s">
        <v>70</v>
      </c>
      <c r="G4" s="16" t="s">
        <v>77</v>
      </c>
      <c r="H4" s="16" t="s">
        <v>78</v>
      </c>
      <c r="I4">
        <f>1/24</f>
        <v>4.1666666666666664E-2</v>
      </c>
    </row>
    <row r="5" spans="1:9" x14ac:dyDescent="0.25">
      <c r="A5" s="18" t="s">
        <v>6</v>
      </c>
      <c r="B5" s="19" t="s">
        <v>76</v>
      </c>
      <c r="C5" s="19" t="s">
        <v>73</v>
      </c>
      <c r="D5" s="19" t="s">
        <v>31</v>
      </c>
      <c r="E5" s="19" t="s">
        <v>32</v>
      </c>
      <c r="F5" t="s">
        <v>70</v>
      </c>
      <c r="G5" s="16" t="s">
        <v>79</v>
      </c>
      <c r="H5" s="16" t="s">
        <v>80</v>
      </c>
      <c r="I5">
        <f t="shared" ref="I5" si="1">1/12</f>
        <v>8.3333333333333329E-2</v>
      </c>
    </row>
    <row r="6" spans="1:9" x14ac:dyDescent="0.25">
      <c r="A6" s="15" t="s">
        <v>6</v>
      </c>
      <c r="B6" s="16" t="s">
        <v>76</v>
      </c>
      <c r="C6" s="16" t="s">
        <v>69</v>
      </c>
      <c r="D6" s="16" t="s">
        <v>33</v>
      </c>
      <c r="E6" s="16" t="s">
        <v>34</v>
      </c>
      <c r="F6" s="17" t="s">
        <v>70</v>
      </c>
      <c r="G6" s="19" t="s">
        <v>81</v>
      </c>
      <c r="H6" s="19" t="s">
        <v>82</v>
      </c>
      <c r="I6">
        <f t="shared" ref="I6:I9" si="2">1/24</f>
        <v>4.1666666666666664E-2</v>
      </c>
    </row>
    <row r="7" spans="1:9" x14ac:dyDescent="0.25">
      <c r="A7" s="18" t="s">
        <v>6</v>
      </c>
      <c r="B7" s="19" t="s">
        <v>76</v>
      </c>
      <c r="C7" s="19" t="s">
        <v>69</v>
      </c>
      <c r="D7" s="19" t="s">
        <v>35</v>
      </c>
      <c r="E7" s="19" t="s">
        <v>36</v>
      </c>
      <c r="F7" s="17" t="s">
        <v>70</v>
      </c>
      <c r="G7" s="19" t="s">
        <v>83</v>
      </c>
      <c r="H7" s="19" t="s">
        <v>84</v>
      </c>
      <c r="I7">
        <f t="shared" si="2"/>
        <v>4.1666666666666664E-2</v>
      </c>
    </row>
    <row r="8" spans="1:9" x14ac:dyDescent="0.25">
      <c r="A8" s="15" t="s">
        <v>6</v>
      </c>
      <c r="B8" s="16" t="s">
        <v>76</v>
      </c>
      <c r="C8" s="16" t="s">
        <v>69</v>
      </c>
      <c r="D8" s="16" t="s">
        <v>37</v>
      </c>
      <c r="E8" s="16" t="s">
        <v>38</v>
      </c>
      <c r="F8" s="17" t="s">
        <v>70</v>
      </c>
      <c r="G8" s="16" t="s">
        <v>85</v>
      </c>
      <c r="H8" s="16" t="s">
        <v>86</v>
      </c>
      <c r="I8">
        <f t="shared" si="2"/>
        <v>4.1666666666666664E-2</v>
      </c>
    </row>
    <row r="9" spans="1:9" x14ac:dyDescent="0.25">
      <c r="A9" s="18" t="s">
        <v>6</v>
      </c>
      <c r="B9" s="19" t="s">
        <v>76</v>
      </c>
      <c r="C9" s="19" t="s">
        <v>69</v>
      </c>
      <c r="D9" s="19" t="s">
        <v>39</v>
      </c>
      <c r="E9" s="19" t="s">
        <v>40</v>
      </c>
      <c r="F9" s="17" t="s">
        <v>70</v>
      </c>
      <c r="G9" s="16" t="s">
        <v>87</v>
      </c>
      <c r="H9" s="16" t="s">
        <v>88</v>
      </c>
      <c r="I9">
        <f t="shared" si="2"/>
        <v>4.1666666666666664E-2</v>
      </c>
    </row>
    <row r="10" spans="1:9" x14ac:dyDescent="0.25">
      <c r="A10" s="15" t="s">
        <v>6</v>
      </c>
      <c r="B10" s="16" t="s">
        <v>68</v>
      </c>
      <c r="C10" s="16" t="s">
        <v>89</v>
      </c>
      <c r="D10" s="16" t="s">
        <v>15</v>
      </c>
      <c r="E10" s="16" t="s">
        <v>16</v>
      </c>
      <c r="F10" s="17" t="s">
        <v>70</v>
      </c>
      <c r="G10" s="16" t="s">
        <v>90</v>
      </c>
      <c r="H10" s="16" t="s">
        <v>91</v>
      </c>
      <c r="I10">
        <f>1/40</f>
        <v>2.5000000000000001E-2</v>
      </c>
    </row>
    <row r="11" spans="1:9" x14ac:dyDescent="0.25">
      <c r="A11" s="15" t="s">
        <v>6</v>
      </c>
      <c r="B11" s="16" t="s">
        <v>68</v>
      </c>
      <c r="C11" s="16" t="s">
        <v>69</v>
      </c>
      <c r="D11" s="16" t="s">
        <v>17</v>
      </c>
      <c r="E11" s="16" t="s">
        <v>18</v>
      </c>
      <c r="F11" s="17" t="s">
        <v>70</v>
      </c>
      <c r="G11" s="19" t="s">
        <v>92</v>
      </c>
      <c r="H11" s="19" t="s">
        <v>93</v>
      </c>
      <c r="I11">
        <f>1/24</f>
        <v>4.1666666666666664E-2</v>
      </c>
    </row>
    <row r="12" spans="1:9" x14ac:dyDescent="0.25">
      <c r="A12" s="18" t="s">
        <v>6</v>
      </c>
      <c r="B12" s="19" t="s">
        <v>68</v>
      </c>
      <c r="C12" s="19" t="s">
        <v>73</v>
      </c>
      <c r="D12" s="19" t="s">
        <v>19</v>
      </c>
      <c r="E12" s="19" t="s">
        <v>20</v>
      </c>
      <c r="F12" t="s">
        <v>70</v>
      </c>
      <c r="G12" s="16" t="s">
        <v>94</v>
      </c>
      <c r="H12" s="16" t="s">
        <v>95</v>
      </c>
      <c r="I12">
        <f t="shared" ref="I12:I19" si="3">1/12</f>
        <v>8.3333333333333329E-2</v>
      </c>
    </row>
    <row r="13" spans="1:9" x14ac:dyDescent="0.25">
      <c r="A13" s="15" t="s">
        <v>6</v>
      </c>
      <c r="B13" s="16" t="s">
        <v>96</v>
      </c>
      <c r="C13" s="16" t="s">
        <v>89</v>
      </c>
      <c r="D13" s="16" t="s">
        <v>22</v>
      </c>
      <c r="E13" s="16" t="s">
        <v>23</v>
      </c>
      <c r="F13" s="17" t="s">
        <v>70</v>
      </c>
      <c r="G13" s="16" t="s">
        <v>97</v>
      </c>
      <c r="H13" s="16" t="s">
        <v>98</v>
      </c>
      <c r="I13">
        <f>1/40</f>
        <v>2.5000000000000001E-2</v>
      </c>
    </row>
    <row r="14" spans="1:9" x14ac:dyDescent="0.25">
      <c r="A14" s="18" t="s">
        <v>6</v>
      </c>
      <c r="B14" s="19" t="s">
        <v>96</v>
      </c>
      <c r="C14" s="19" t="s">
        <v>73</v>
      </c>
      <c r="D14" s="19" t="s">
        <v>24</v>
      </c>
      <c r="E14" s="19" t="s">
        <v>25</v>
      </c>
      <c r="F14" t="s">
        <v>70</v>
      </c>
      <c r="G14" s="16" t="s">
        <v>99</v>
      </c>
      <c r="H14" s="16" t="s">
        <v>100</v>
      </c>
      <c r="I14">
        <f t="shared" si="3"/>
        <v>8.3333333333333329E-2</v>
      </c>
    </row>
    <row r="15" spans="1:9" x14ac:dyDescent="0.25">
      <c r="A15" s="15" t="s">
        <v>6</v>
      </c>
      <c r="B15" s="16" t="s">
        <v>96</v>
      </c>
      <c r="C15" s="16" t="s">
        <v>69</v>
      </c>
      <c r="D15" s="16" t="s">
        <v>26</v>
      </c>
      <c r="E15" s="16" t="s">
        <v>27</v>
      </c>
      <c r="F15" s="17" t="s">
        <v>70</v>
      </c>
      <c r="G15" s="16" t="s">
        <v>101</v>
      </c>
      <c r="H15" s="16" t="s">
        <v>102</v>
      </c>
      <c r="I15">
        <f>1/24</f>
        <v>4.1666666666666664E-2</v>
      </c>
    </row>
    <row r="16" spans="1:9" x14ac:dyDescent="0.25">
      <c r="A16" s="18" t="s">
        <v>55</v>
      </c>
      <c r="B16" s="19" t="s">
        <v>76</v>
      </c>
      <c r="C16" s="19" t="s">
        <v>73</v>
      </c>
      <c r="D16" s="19" t="s">
        <v>56</v>
      </c>
      <c r="E16" s="19" t="s">
        <v>57</v>
      </c>
      <c r="F16" s="17" t="s">
        <v>70</v>
      </c>
      <c r="G16" s="16" t="s">
        <v>103</v>
      </c>
      <c r="H16" s="16" t="s">
        <v>104</v>
      </c>
      <c r="I16">
        <f t="shared" si="3"/>
        <v>8.3333333333333329E-2</v>
      </c>
    </row>
    <row r="17" spans="1:9" x14ac:dyDescent="0.25">
      <c r="A17" s="15" t="s">
        <v>55</v>
      </c>
      <c r="B17" s="16" t="s">
        <v>68</v>
      </c>
      <c r="C17" s="16" t="s">
        <v>73</v>
      </c>
      <c r="D17" s="16" t="s">
        <v>60</v>
      </c>
      <c r="E17" s="16" t="s">
        <v>61</v>
      </c>
      <c r="F17" s="17" t="s">
        <v>70</v>
      </c>
      <c r="G17" s="16" t="s">
        <v>105</v>
      </c>
      <c r="H17" s="16" t="s">
        <v>106</v>
      </c>
      <c r="I17">
        <f>1/12</f>
        <v>8.3333333333333329E-2</v>
      </c>
    </row>
    <row r="18" spans="1:9" x14ac:dyDescent="0.25">
      <c r="A18" s="18" t="s">
        <v>55</v>
      </c>
      <c r="B18" s="19" t="s">
        <v>76</v>
      </c>
      <c r="C18" s="19" t="s">
        <v>73</v>
      </c>
      <c r="D18" s="19" t="s">
        <v>58</v>
      </c>
      <c r="E18" s="19" t="s">
        <v>59</v>
      </c>
      <c r="F18" s="17" t="s">
        <v>70</v>
      </c>
      <c r="G18" s="16" t="s">
        <v>107</v>
      </c>
      <c r="H18" s="16" t="s">
        <v>108</v>
      </c>
      <c r="I18">
        <f t="shared" si="3"/>
        <v>8.3333333333333329E-2</v>
      </c>
    </row>
    <row r="19" spans="1:9" x14ac:dyDescent="0.25">
      <c r="A19" s="15" t="s">
        <v>55</v>
      </c>
      <c r="B19" s="16" t="s">
        <v>76</v>
      </c>
      <c r="C19" s="16" t="s">
        <v>73</v>
      </c>
      <c r="D19" s="16" t="s">
        <v>62</v>
      </c>
      <c r="E19" s="16" t="s">
        <v>63</v>
      </c>
      <c r="F19" s="17" t="s">
        <v>70</v>
      </c>
      <c r="G19" s="19" t="s">
        <v>109</v>
      </c>
      <c r="H19" s="19" t="s">
        <v>110</v>
      </c>
      <c r="I19">
        <f t="shared" si="3"/>
        <v>8.3333333333333329E-2</v>
      </c>
    </row>
    <row r="20" spans="1:9" x14ac:dyDescent="0.25">
      <c r="A20" s="18" t="s">
        <v>6</v>
      </c>
      <c r="B20" s="19" t="s">
        <v>76</v>
      </c>
      <c r="C20" s="19" t="s">
        <v>69</v>
      </c>
      <c r="D20" s="19" t="s">
        <v>41</v>
      </c>
      <c r="E20" s="19" t="s">
        <v>42</v>
      </c>
      <c r="F20" s="17" t="s">
        <v>70</v>
      </c>
      <c r="G20" s="19" t="s">
        <v>111</v>
      </c>
      <c r="H20" s="19" t="s">
        <v>112</v>
      </c>
      <c r="I20">
        <f t="shared" ref="I20:I26" si="4">1/24</f>
        <v>4.1666666666666664E-2</v>
      </c>
    </row>
    <row r="21" spans="1:9" x14ac:dyDescent="0.25">
      <c r="A21" s="15" t="s">
        <v>6</v>
      </c>
      <c r="B21" s="16" t="s">
        <v>76</v>
      </c>
      <c r="C21" s="16" t="s">
        <v>69</v>
      </c>
      <c r="D21" s="16" t="s">
        <v>43</v>
      </c>
      <c r="E21" s="16" t="s">
        <v>44</v>
      </c>
      <c r="F21" s="17" t="s">
        <v>70</v>
      </c>
      <c r="G21" s="16" t="s">
        <v>113</v>
      </c>
      <c r="H21" s="16" t="s">
        <v>114</v>
      </c>
      <c r="I21">
        <f t="shared" si="4"/>
        <v>4.1666666666666664E-2</v>
      </c>
    </row>
    <row r="22" spans="1:9" x14ac:dyDescent="0.25">
      <c r="A22" s="18" t="s">
        <v>6</v>
      </c>
      <c r="B22" s="19" t="s">
        <v>76</v>
      </c>
      <c r="C22" s="19" t="s">
        <v>69</v>
      </c>
      <c r="D22" s="19" t="s">
        <v>45</v>
      </c>
      <c r="E22" s="19" t="s">
        <v>46</v>
      </c>
      <c r="F22" s="17" t="s">
        <v>70</v>
      </c>
      <c r="G22" s="19" t="s">
        <v>115</v>
      </c>
      <c r="H22" s="19" t="s">
        <v>116</v>
      </c>
      <c r="I22">
        <f t="shared" si="4"/>
        <v>4.1666666666666664E-2</v>
      </c>
    </row>
    <row r="23" spans="1:9" x14ac:dyDescent="0.25">
      <c r="A23" s="15" t="s">
        <v>6</v>
      </c>
      <c r="B23" s="16" t="s">
        <v>76</v>
      </c>
      <c r="C23" s="16" t="s">
        <v>69</v>
      </c>
      <c r="D23" s="16" t="s">
        <v>53</v>
      </c>
      <c r="E23" s="16" t="s">
        <v>54</v>
      </c>
      <c r="F23" s="17" t="s">
        <v>70</v>
      </c>
      <c r="G23" s="19" t="s">
        <v>117</v>
      </c>
      <c r="H23" s="19" t="s">
        <v>118</v>
      </c>
      <c r="I23">
        <f t="shared" si="4"/>
        <v>4.1666666666666664E-2</v>
      </c>
    </row>
    <row r="24" spans="1:9" x14ac:dyDescent="0.25">
      <c r="A24" s="18" t="s">
        <v>6</v>
      </c>
      <c r="B24" s="19" t="s">
        <v>76</v>
      </c>
      <c r="C24" s="19" t="s">
        <v>69</v>
      </c>
      <c r="D24" s="19" t="s">
        <v>47</v>
      </c>
      <c r="E24" s="19" t="s">
        <v>48</v>
      </c>
      <c r="F24" s="17" t="s">
        <v>70</v>
      </c>
      <c r="G24" s="19" t="s">
        <v>119</v>
      </c>
      <c r="H24" s="19" t="s">
        <v>120</v>
      </c>
      <c r="I24">
        <f t="shared" si="4"/>
        <v>4.1666666666666664E-2</v>
      </c>
    </row>
    <row r="25" spans="1:9" x14ac:dyDescent="0.25">
      <c r="A25" s="15" t="s">
        <v>6</v>
      </c>
      <c r="B25" s="16" t="s">
        <v>76</v>
      </c>
      <c r="C25" s="16" t="s">
        <v>69</v>
      </c>
      <c r="D25" s="16" t="s">
        <v>49</v>
      </c>
      <c r="E25" s="16" t="s">
        <v>50</v>
      </c>
      <c r="F25" s="17" t="s">
        <v>70</v>
      </c>
      <c r="G25" s="16" t="s">
        <v>121</v>
      </c>
      <c r="H25" s="16" t="s">
        <v>122</v>
      </c>
      <c r="I25">
        <f t="shared" si="4"/>
        <v>4.1666666666666664E-2</v>
      </c>
    </row>
    <row r="26" spans="1:9" x14ac:dyDescent="0.25">
      <c r="A26" s="18" t="s">
        <v>6</v>
      </c>
      <c r="B26" s="19" t="s">
        <v>76</v>
      </c>
      <c r="C26" s="19" t="s">
        <v>69</v>
      </c>
      <c r="D26" s="19" t="s">
        <v>51</v>
      </c>
      <c r="E26" s="19" t="s">
        <v>52</v>
      </c>
      <c r="F26" s="17" t="s">
        <v>70</v>
      </c>
      <c r="G26" s="16" t="s">
        <v>123</v>
      </c>
      <c r="H26" s="16" t="s">
        <v>124</v>
      </c>
      <c r="I26">
        <f t="shared" si="4"/>
        <v>4.1666666666666664E-2</v>
      </c>
    </row>
    <row r="27" spans="1:9" x14ac:dyDescent="0.25">
      <c r="A27" s="15" t="s">
        <v>6</v>
      </c>
      <c r="B27" s="16" t="s">
        <v>76</v>
      </c>
      <c r="C27" s="16" t="s">
        <v>73</v>
      </c>
      <c r="D27" s="16" t="s">
        <v>125</v>
      </c>
      <c r="E27" s="16" t="s">
        <v>126</v>
      </c>
      <c r="F27" s="17" t="s">
        <v>70</v>
      </c>
      <c r="G27" s="16" t="s">
        <v>79</v>
      </c>
      <c r="H27" s="16" t="s">
        <v>80</v>
      </c>
      <c r="I27">
        <f t="shared" ref="I27" si="5">1/12</f>
        <v>8.3333333333333329E-2</v>
      </c>
    </row>
    <row r="28" spans="1:9" x14ac:dyDescent="0.25">
      <c r="A28" s="15" t="s">
        <v>6</v>
      </c>
      <c r="B28" s="16" t="s">
        <v>68</v>
      </c>
      <c r="C28" s="16" t="s">
        <v>69</v>
      </c>
      <c r="D28" s="16" t="s">
        <v>9</v>
      </c>
      <c r="E28" s="16" t="s">
        <v>10</v>
      </c>
      <c r="F28" s="17" t="s">
        <v>128</v>
      </c>
      <c r="G28" s="16" t="s">
        <v>129</v>
      </c>
      <c r="H28" s="16" t="s">
        <v>130</v>
      </c>
      <c r="I28">
        <v>1</v>
      </c>
    </row>
    <row r="29" spans="1:9" x14ac:dyDescent="0.25">
      <c r="A29" s="18" t="s">
        <v>6</v>
      </c>
      <c r="B29" s="19" t="s">
        <v>68</v>
      </c>
      <c r="C29" s="19" t="s">
        <v>73</v>
      </c>
      <c r="D29" s="19" t="s">
        <v>12</v>
      </c>
      <c r="E29" s="19" t="s">
        <v>13</v>
      </c>
      <c r="F29" t="s">
        <v>128</v>
      </c>
      <c r="G29" s="19" t="s">
        <v>131</v>
      </c>
      <c r="H29" s="19" t="s">
        <v>132</v>
      </c>
      <c r="I29">
        <v>1</v>
      </c>
    </row>
    <row r="30" spans="1:9" x14ac:dyDescent="0.25">
      <c r="A30" s="15" t="s">
        <v>6</v>
      </c>
      <c r="B30" s="16" t="s">
        <v>76</v>
      </c>
      <c r="C30" s="16" t="s">
        <v>69</v>
      </c>
      <c r="D30" s="16" t="s">
        <v>29</v>
      </c>
      <c r="E30" s="16" t="s">
        <v>30</v>
      </c>
      <c r="F30" t="s">
        <v>128</v>
      </c>
      <c r="G30" s="19" t="s">
        <v>133</v>
      </c>
      <c r="H30" s="19" t="s">
        <v>134</v>
      </c>
      <c r="I30">
        <v>1</v>
      </c>
    </row>
    <row r="31" spans="1:9" x14ac:dyDescent="0.25">
      <c r="A31" s="18" t="s">
        <v>6</v>
      </c>
      <c r="B31" s="19" t="s">
        <v>76</v>
      </c>
      <c r="C31" s="19" t="s">
        <v>73</v>
      </c>
      <c r="D31" s="19" t="s">
        <v>31</v>
      </c>
      <c r="E31" s="19" t="s">
        <v>32</v>
      </c>
      <c r="F31" t="s">
        <v>128</v>
      </c>
      <c r="G31" s="16" t="s">
        <v>135</v>
      </c>
      <c r="H31" s="16" t="s">
        <v>136</v>
      </c>
      <c r="I31">
        <v>1</v>
      </c>
    </row>
    <row r="32" spans="1:9" x14ac:dyDescent="0.25">
      <c r="A32" s="15" t="s">
        <v>6</v>
      </c>
      <c r="B32" s="16" t="s">
        <v>76</v>
      </c>
      <c r="C32" s="16" t="s">
        <v>69</v>
      </c>
      <c r="D32" s="16" t="s">
        <v>33</v>
      </c>
      <c r="E32" s="16" t="s">
        <v>34</v>
      </c>
      <c r="F32" t="s">
        <v>128</v>
      </c>
      <c r="G32" s="19" t="s">
        <v>137</v>
      </c>
      <c r="H32" s="19" t="s">
        <v>138</v>
      </c>
      <c r="I32">
        <v>1</v>
      </c>
    </row>
    <row r="33" spans="1:9" x14ac:dyDescent="0.25">
      <c r="A33" s="18" t="s">
        <v>6</v>
      </c>
      <c r="B33" s="19" t="s">
        <v>76</v>
      </c>
      <c r="C33" s="19" t="s">
        <v>69</v>
      </c>
      <c r="D33" s="19" t="s">
        <v>35</v>
      </c>
      <c r="E33" s="19" t="s">
        <v>36</v>
      </c>
      <c r="F33" t="s">
        <v>128</v>
      </c>
      <c r="G33" s="19" t="s">
        <v>139</v>
      </c>
      <c r="H33" s="19" t="s">
        <v>140</v>
      </c>
      <c r="I33">
        <v>1</v>
      </c>
    </row>
    <row r="34" spans="1:9" x14ac:dyDescent="0.25">
      <c r="A34" s="15" t="s">
        <v>6</v>
      </c>
      <c r="B34" s="16" t="s">
        <v>76</v>
      </c>
      <c r="C34" s="16" t="s">
        <v>69</v>
      </c>
      <c r="D34" s="16" t="s">
        <v>37</v>
      </c>
      <c r="E34" s="16" t="s">
        <v>38</v>
      </c>
      <c r="F34" t="s">
        <v>128</v>
      </c>
      <c r="G34" s="16" t="s">
        <v>141</v>
      </c>
      <c r="H34" s="16" t="s">
        <v>142</v>
      </c>
      <c r="I34">
        <v>1</v>
      </c>
    </row>
    <row r="35" spans="1:9" x14ac:dyDescent="0.25">
      <c r="A35" s="18" t="s">
        <v>6</v>
      </c>
      <c r="B35" s="19" t="s">
        <v>76</v>
      </c>
      <c r="C35" s="19" t="s">
        <v>69</v>
      </c>
      <c r="D35" s="19" t="s">
        <v>39</v>
      </c>
      <c r="E35" s="19" t="s">
        <v>40</v>
      </c>
      <c r="F35" t="s">
        <v>128</v>
      </c>
      <c r="G35" s="16" t="s">
        <v>143</v>
      </c>
      <c r="H35" s="16" t="s">
        <v>144</v>
      </c>
      <c r="I35">
        <v>1</v>
      </c>
    </row>
    <row r="36" spans="1:9" x14ac:dyDescent="0.25">
      <c r="A36" s="15" t="s">
        <v>6</v>
      </c>
      <c r="B36" s="16" t="s">
        <v>68</v>
      </c>
      <c r="C36" s="16" t="s">
        <v>89</v>
      </c>
      <c r="D36" s="16" t="s">
        <v>15</v>
      </c>
      <c r="E36" s="16" t="s">
        <v>16</v>
      </c>
      <c r="F36" s="17" t="s">
        <v>128</v>
      </c>
      <c r="G36" s="16" t="s">
        <v>145</v>
      </c>
      <c r="H36" s="16" t="s">
        <v>146</v>
      </c>
      <c r="I36">
        <v>1</v>
      </c>
    </row>
    <row r="37" spans="1:9" x14ac:dyDescent="0.25">
      <c r="A37" s="15" t="s">
        <v>6</v>
      </c>
      <c r="B37" s="16" t="s">
        <v>68</v>
      </c>
      <c r="C37" s="16" t="s">
        <v>69</v>
      </c>
      <c r="D37" s="16" t="s">
        <v>17</v>
      </c>
      <c r="E37" s="16" t="s">
        <v>18</v>
      </c>
      <c r="F37" s="17" t="s">
        <v>128</v>
      </c>
      <c r="G37" s="19" t="s">
        <v>147</v>
      </c>
      <c r="H37" s="19" t="s">
        <v>148</v>
      </c>
      <c r="I37">
        <v>1</v>
      </c>
    </row>
    <row r="38" spans="1:9" x14ac:dyDescent="0.25">
      <c r="A38" s="18" t="s">
        <v>6</v>
      </c>
      <c r="B38" s="19" t="s">
        <v>68</v>
      </c>
      <c r="C38" s="19" t="s">
        <v>73</v>
      </c>
      <c r="D38" s="19" t="s">
        <v>19</v>
      </c>
      <c r="E38" s="19" t="s">
        <v>20</v>
      </c>
      <c r="F38" t="s">
        <v>128</v>
      </c>
      <c r="G38" s="16" t="s">
        <v>149</v>
      </c>
      <c r="H38" s="16" t="s">
        <v>150</v>
      </c>
      <c r="I38">
        <v>1</v>
      </c>
    </row>
    <row r="39" spans="1:9" x14ac:dyDescent="0.25">
      <c r="A39" s="15" t="s">
        <v>6</v>
      </c>
      <c r="B39" s="16" t="s">
        <v>96</v>
      </c>
      <c r="C39" s="16" t="s">
        <v>89</v>
      </c>
      <c r="D39" s="16" t="s">
        <v>22</v>
      </c>
      <c r="E39" s="16" t="s">
        <v>23</v>
      </c>
      <c r="F39" t="s">
        <v>128</v>
      </c>
      <c r="G39" s="19" t="s">
        <v>151</v>
      </c>
      <c r="H39" s="19" t="s">
        <v>152</v>
      </c>
      <c r="I39">
        <v>1</v>
      </c>
    </row>
    <row r="40" spans="1:9" x14ac:dyDescent="0.25">
      <c r="A40" s="18" t="s">
        <v>6</v>
      </c>
      <c r="B40" s="19" t="s">
        <v>96</v>
      </c>
      <c r="C40" s="19" t="s">
        <v>73</v>
      </c>
      <c r="D40" s="19" t="s">
        <v>24</v>
      </c>
      <c r="E40" s="19" t="s">
        <v>25</v>
      </c>
      <c r="F40" t="s">
        <v>128</v>
      </c>
      <c r="G40" s="16" t="s">
        <v>153</v>
      </c>
      <c r="H40" s="16" t="s">
        <v>154</v>
      </c>
      <c r="I40">
        <v>1</v>
      </c>
    </row>
    <row r="41" spans="1:9" x14ac:dyDescent="0.25">
      <c r="A41" s="15" t="s">
        <v>6</v>
      </c>
      <c r="B41" s="16" t="s">
        <v>96</v>
      </c>
      <c r="C41" s="16" t="s">
        <v>69</v>
      </c>
      <c r="D41" s="16" t="s">
        <v>26</v>
      </c>
      <c r="E41" s="16" t="s">
        <v>27</v>
      </c>
      <c r="F41" s="17" t="s">
        <v>128</v>
      </c>
      <c r="G41" s="16" t="s">
        <v>155</v>
      </c>
      <c r="H41" s="16" t="s">
        <v>156</v>
      </c>
      <c r="I41">
        <v>1</v>
      </c>
    </row>
    <row r="42" spans="1:9" x14ac:dyDescent="0.25">
      <c r="A42" s="18" t="s">
        <v>6</v>
      </c>
      <c r="B42" s="19" t="s">
        <v>76</v>
      </c>
      <c r="C42" s="19" t="s">
        <v>69</v>
      </c>
      <c r="D42" s="19" t="s">
        <v>41</v>
      </c>
      <c r="E42" s="19" t="s">
        <v>42</v>
      </c>
      <c r="F42" t="s">
        <v>128</v>
      </c>
      <c r="G42" s="16" t="s">
        <v>157</v>
      </c>
      <c r="H42" s="16" t="s">
        <v>158</v>
      </c>
      <c r="I42">
        <v>1</v>
      </c>
    </row>
    <row r="43" spans="1:9" x14ac:dyDescent="0.25">
      <c r="A43" s="15" t="s">
        <v>6</v>
      </c>
      <c r="B43" s="16" t="s">
        <v>76</v>
      </c>
      <c r="C43" s="16" t="s">
        <v>69</v>
      </c>
      <c r="D43" s="16" t="s">
        <v>43</v>
      </c>
      <c r="E43" s="16" t="s">
        <v>44</v>
      </c>
      <c r="F43" t="s">
        <v>128</v>
      </c>
      <c r="G43" s="16" t="s">
        <v>141</v>
      </c>
      <c r="H43" s="16" t="s">
        <v>142</v>
      </c>
      <c r="I43">
        <v>1</v>
      </c>
    </row>
    <row r="44" spans="1:9" x14ac:dyDescent="0.25">
      <c r="A44" s="18" t="s">
        <v>6</v>
      </c>
      <c r="B44" s="19" t="s">
        <v>76</v>
      </c>
      <c r="C44" s="19" t="s">
        <v>69</v>
      </c>
      <c r="D44" s="19" t="s">
        <v>45</v>
      </c>
      <c r="E44" s="19" t="s">
        <v>46</v>
      </c>
      <c r="F44" t="s">
        <v>128</v>
      </c>
      <c r="G44" s="16" t="s">
        <v>143</v>
      </c>
      <c r="H44" s="16" t="s">
        <v>144</v>
      </c>
      <c r="I44">
        <v>1</v>
      </c>
    </row>
    <row r="45" spans="1:9" x14ac:dyDescent="0.25">
      <c r="A45" s="15" t="s">
        <v>6</v>
      </c>
      <c r="B45" s="16" t="s">
        <v>76</v>
      </c>
      <c r="C45" s="16" t="s">
        <v>69</v>
      </c>
      <c r="D45" s="16" t="s">
        <v>53</v>
      </c>
      <c r="E45" s="16" t="s">
        <v>54</v>
      </c>
      <c r="F45" t="s">
        <v>128</v>
      </c>
      <c r="G45" s="19" t="s">
        <v>139</v>
      </c>
      <c r="H45" s="19" t="s">
        <v>140</v>
      </c>
      <c r="I45">
        <v>1</v>
      </c>
    </row>
    <row r="46" spans="1:9" x14ac:dyDescent="0.25">
      <c r="A46" s="18" t="s">
        <v>6</v>
      </c>
      <c r="B46" s="19" t="s">
        <v>76</v>
      </c>
      <c r="C46" s="19" t="s">
        <v>69</v>
      </c>
      <c r="D46" s="19" t="s">
        <v>47</v>
      </c>
      <c r="E46" s="19" t="s">
        <v>48</v>
      </c>
      <c r="F46" t="s">
        <v>128</v>
      </c>
      <c r="G46" s="19" t="s">
        <v>137</v>
      </c>
      <c r="H46" s="19" t="s">
        <v>138</v>
      </c>
      <c r="I46">
        <v>1</v>
      </c>
    </row>
    <row r="47" spans="1:9" x14ac:dyDescent="0.25">
      <c r="A47" s="15" t="s">
        <v>6</v>
      </c>
      <c r="B47" s="16" t="s">
        <v>76</v>
      </c>
      <c r="C47" s="16" t="s">
        <v>69</v>
      </c>
      <c r="D47" s="16" t="s">
        <v>49</v>
      </c>
      <c r="E47" s="16" t="s">
        <v>50</v>
      </c>
      <c r="F47" t="s">
        <v>128</v>
      </c>
      <c r="G47" s="19" t="s">
        <v>133</v>
      </c>
      <c r="H47" s="19" t="s">
        <v>134</v>
      </c>
      <c r="I47">
        <v>1</v>
      </c>
    </row>
    <row r="48" spans="1:9" x14ac:dyDescent="0.25">
      <c r="A48" s="18" t="s">
        <v>6</v>
      </c>
      <c r="B48" s="19" t="s">
        <v>76</v>
      </c>
      <c r="C48" s="19" t="s">
        <v>69</v>
      </c>
      <c r="D48" s="19" t="s">
        <v>51</v>
      </c>
      <c r="E48" s="19" t="s">
        <v>52</v>
      </c>
      <c r="F48" t="s">
        <v>128</v>
      </c>
      <c r="G48" s="19" t="s">
        <v>159</v>
      </c>
      <c r="H48" s="19" t="s">
        <v>160</v>
      </c>
      <c r="I48">
        <v>1</v>
      </c>
    </row>
    <row r="49" spans="1:9" x14ac:dyDescent="0.25">
      <c r="A49" s="15" t="s">
        <v>6</v>
      </c>
      <c r="B49" s="16" t="s">
        <v>76</v>
      </c>
      <c r="C49" s="16" t="s">
        <v>73</v>
      </c>
      <c r="D49" s="16" t="s">
        <v>125</v>
      </c>
      <c r="E49" s="16" t="s">
        <v>126</v>
      </c>
      <c r="F49" s="17" t="s">
        <v>128</v>
      </c>
      <c r="G49" s="16" t="s">
        <v>135</v>
      </c>
      <c r="H49" s="16" t="s">
        <v>136</v>
      </c>
      <c r="I49">
        <v>1</v>
      </c>
    </row>
    <row r="50" spans="1:9" x14ac:dyDescent="0.25">
      <c r="A50" s="18" t="s">
        <v>55</v>
      </c>
      <c r="B50" s="19" t="s">
        <v>76</v>
      </c>
      <c r="C50" s="19" t="s">
        <v>73</v>
      </c>
      <c r="D50" s="19" t="s">
        <v>56</v>
      </c>
      <c r="E50" s="19" t="s">
        <v>57</v>
      </c>
      <c r="F50" s="17" t="s">
        <v>128</v>
      </c>
      <c r="G50" s="16" t="s">
        <v>161</v>
      </c>
      <c r="H50" s="16" t="s">
        <v>162</v>
      </c>
      <c r="I50">
        <v>1</v>
      </c>
    </row>
    <row r="51" spans="1:9" x14ac:dyDescent="0.25">
      <c r="A51" s="15" t="s">
        <v>55</v>
      </c>
      <c r="B51" s="16" t="s">
        <v>68</v>
      </c>
      <c r="C51" s="16" t="s">
        <v>73</v>
      </c>
      <c r="D51" s="16" t="s">
        <v>60</v>
      </c>
      <c r="E51" s="16" t="s">
        <v>61</v>
      </c>
      <c r="F51" s="17" t="s">
        <v>128</v>
      </c>
      <c r="G51" s="19" t="s">
        <v>163</v>
      </c>
      <c r="H51" s="19" t="s">
        <v>164</v>
      </c>
      <c r="I51">
        <v>1</v>
      </c>
    </row>
    <row r="52" spans="1:9" x14ac:dyDescent="0.25">
      <c r="A52" s="18" t="s">
        <v>55</v>
      </c>
      <c r="B52" s="19" t="s">
        <v>76</v>
      </c>
      <c r="C52" s="19" t="s">
        <v>73</v>
      </c>
      <c r="D52" s="19" t="s">
        <v>58</v>
      </c>
      <c r="E52" s="19" t="s">
        <v>59</v>
      </c>
      <c r="F52" s="17" t="s">
        <v>128</v>
      </c>
      <c r="G52" s="19" t="s">
        <v>165</v>
      </c>
      <c r="H52" s="19" t="s">
        <v>166</v>
      </c>
      <c r="I52">
        <v>1</v>
      </c>
    </row>
    <row r="53" spans="1:9" x14ac:dyDescent="0.25">
      <c r="A53" s="15" t="s">
        <v>55</v>
      </c>
      <c r="B53" s="16" t="s">
        <v>76</v>
      </c>
      <c r="C53" s="16" t="s">
        <v>73</v>
      </c>
      <c r="D53" s="16" t="s">
        <v>62</v>
      </c>
      <c r="E53" s="16" t="s">
        <v>63</v>
      </c>
      <c r="F53" s="17" t="s">
        <v>128</v>
      </c>
      <c r="G53" s="16" t="s">
        <v>167</v>
      </c>
      <c r="H53" s="16" t="s">
        <v>168</v>
      </c>
      <c r="I53">
        <v>1</v>
      </c>
    </row>
  </sheetData>
  <autoFilter ref="A1:I1" xr:uid="{6DB10EA4-94FD-418F-AE54-83B9CD96EB8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F07D63F-B0F0-45F9-9F44-45C2FB3CA697}">
  <ds:schemaRefs/>
</ds:datastoreItem>
</file>

<file path=customXml/itemProps2.xml><?xml version="1.0" encoding="utf-8"?>
<ds:datastoreItem xmlns:ds="http://schemas.openxmlformats.org/officeDocument/2006/customXml" ds:itemID="{7766A652-C41C-401A-A296-5F3D3B3071B6}">
  <ds:schemaRefs/>
</ds:datastoreItem>
</file>

<file path=customXml/itemProps3.xml><?xml version="1.0" encoding="utf-8"?>
<ds:datastoreItem xmlns:ds="http://schemas.openxmlformats.org/officeDocument/2006/customXml" ds:itemID="{73306670-7DDD-4B38-939B-DDEA1CA3726F}">
  <ds:schemaRefs/>
</ds:datastoreItem>
</file>

<file path=customXml/itemProps4.xml><?xml version="1.0" encoding="utf-8"?>
<ds:datastoreItem xmlns:ds="http://schemas.openxmlformats.org/officeDocument/2006/customXml" ds:itemID="{6B90678E-1367-4606-BB7D-DE7BA28772DF}">
  <ds:schemaRefs/>
</ds:datastoreItem>
</file>

<file path=customXml/itemProps5.xml><?xml version="1.0" encoding="utf-8"?>
<ds:datastoreItem xmlns:ds="http://schemas.openxmlformats.org/officeDocument/2006/customXml" ds:itemID="{F8EB93A8-35FE-4FA6-BC60-47B1A1916A66}">
  <ds:schemaRefs/>
</ds:datastoreItem>
</file>

<file path=customXml/itemProps6.xml><?xml version="1.0" encoding="utf-8"?>
<ds:datastoreItem xmlns:ds="http://schemas.openxmlformats.org/officeDocument/2006/customXml" ds:itemID="{F2D0FA6C-3631-4158-90F6-86C1C4F8FD6F}">
  <ds:schemaRefs/>
</ds:datastoreItem>
</file>

<file path=customXml/itemProps7.xml><?xml version="1.0" encoding="utf-8"?>
<ds:datastoreItem xmlns:ds="http://schemas.openxmlformats.org/officeDocument/2006/customXml" ds:itemID="{6FAB7B32-F063-42E9-AA17-2685F619B9F4}">
  <ds:schemaRefs/>
</ds:datastoreItem>
</file>

<file path=customXml/itemProps8.xml><?xml version="1.0" encoding="utf-8"?>
<ds:datastoreItem xmlns:ds="http://schemas.openxmlformats.org/officeDocument/2006/customXml" ds:itemID="{EA886A65-F3AF-4B09-96C5-36CADA14A439}">
  <ds:schemaRefs/>
</ds:datastoreItem>
</file>

<file path=customXml/itemProps9.xml><?xml version="1.0" encoding="utf-8"?>
<ds:datastoreItem xmlns:ds="http://schemas.openxmlformats.org/officeDocument/2006/customXml" ds:itemID="{CCFA1BA8-38FA-480F-9B2D-19EB726C3DAF}">
  <ds:schemaRefs/>
</ds:datastoreItem>
</file>

<file path=customXml/itemProps10.xml><?xml version="1.0" encoding="utf-8"?>
<ds:datastoreItem xmlns:ds="http://schemas.openxmlformats.org/officeDocument/2006/customXml" ds:itemID="{5D4DB363-5052-4FC9-A8B6-E042CD90A9ED}">
  <ds:schemaRefs/>
</ds:datastoreItem>
</file>

<file path=customXml/itemProps11.xml><?xml version="1.0" encoding="utf-8"?>
<ds:datastoreItem xmlns:ds="http://schemas.openxmlformats.org/officeDocument/2006/customXml" ds:itemID="{8114B126-E414-43BE-9A6F-3D6A67F2752D}">
  <ds:schemaRefs/>
</ds:datastoreItem>
</file>

<file path=customXml/itemProps12.xml><?xml version="1.0" encoding="utf-8"?>
<ds:datastoreItem xmlns:ds="http://schemas.openxmlformats.org/officeDocument/2006/customXml" ds:itemID="{96142B2C-9163-4C4E-AE76-D6934632A2E3}">
  <ds:schemaRefs/>
</ds:datastoreItem>
</file>

<file path=customXml/itemProps13.xml><?xml version="1.0" encoding="utf-8"?>
<ds:datastoreItem xmlns:ds="http://schemas.openxmlformats.org/officeDocument/2006/customXml" ds:itemID="{A34AD432-1B59-4D18-BA2F-E0371F44E7F6}">
  <ds:schemaRefs/>
</ds:datastoreItem>
</file>

<file path=customXml/itemProps14.xml><?xml version="1.0" encoding="utf-8"?>
<ds:datastoreItem xmlns:ds="http://schemas.openxmlformats.org/officeDocument/2006/customXml" ds:itemID="{CF49B3DA-8D29-4A96-862D-3E92E5DDEB29}">
  <ds:schemaRefs/>
</ds:datastoreItem>
</file>

<file path=customXml/itemProps15.xml><?xml version="1.0" encoding="utf-8"?>
<ds:datastoreItem xmlns:ds="http://schemas.openxmlformats.org/officeDocument/2006/customXml" ds:itemID="{BC759A6B-4699-4BEE-B5EA-48007C1F6075}">
  <ds:schemaRefs/>
</ds:datastoreItem>
</file>

<file path=customXml/itemProps16.xml><?xml version="1.0" encoding="utf-8"?>
<ds:datastoreItem xmlns:ds="http://schemas.openxmlformats.org/officeDocument/2006/customXml" ds:itemID="{9F6363DE-09D3-4DCB-9A8D-9853773FD17F}">
  <ds:schemaRefs/>
</ds:datastoreItem>
</file>

<file path=customXml/itemProps17.xml><?xml version="1.0" encoding="utf-8"?>
<ds:datastoreItem xmlns:ds="http://schemas.openxmlformats.org/officeDocument/2006/customXml" ds:itemID="{BFDBF522-7C66-4856-9CE7-4599DD2717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Recap</vt:lpstr>
      <vt:lpstr> Fact Caisse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2025-12-23T19:19:08Z</dcterms:modified>
</cp:coreProperties>
</file>