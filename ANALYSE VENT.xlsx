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D:\GI\Data Science Portfolio\Projects\Supply Chain BI\Tableux de bord Supply Chain\"/>
    </mc:Choice>
  </mc:AlternateContent>
  <xr:revisionPtr revIDLastSave="0" documentId="13_ncr:1_{14DEF167-6FA5-427E-885A-390CC7C44694}" xr6:coauthVersionLast="47" xr6:coauthVersionMax="47" xr10:uidLastSave="{00000000-0000-0000-0000-000000000000}"/>
  <bookViews>
    <workbookView xWindow="-120" yWindow="-120" windowWidth="20730" windowHeight="11160" activeTab="2" xr2:uid="{00000000-000D-0000-FFFF-FFFF00000000}"/>
  </bookViews>
  <sheets>
    <sheet name="Dashboard" sheetId="5" r:id="rId1"/>
    <sheet name="Croisement Dynamic Vent" sheetId="6" r:id="rId2"/>
    <sheet name="Vent JAN" sheetId="2" r:id="rId3"/>
  </sheets>
  <definedNames>
    <definedName name="_xlcn.WorksheetConnection_ANALYSEVENT.xlsxSheet1" hidden="1">Sheet1[]</definedName>
    <definedName name="ExternalData_1" localSheetId="2" hidden="1">'Vent JAN'!$A$1:$K$321</definedName>
    <definedName name="Segment_Client">#N/A</definedName>
    <definedName name="Segment_Famille">#N/A</definedName>
    <definedName name="Segment_Type_Produi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Vent JAN" connection="WorksheetConnection_ANALYSE VENT.xlsx!Sheet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E091AD-4474-4763-BC29-00FF59254183}"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1FB8D58B-D7B5-4129-B324-BF552289B0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7EAFD95-F33F-45B6-AAEA-FAC7B53AEFF0}" name="WorksheetConnection_ANALYSE VENT.xlsx!Sheet1" type="102" refreshedVersion="8" minRefreshableVersion="5">
    <extLst>
      <ext xmlns:x15="http://schemas.microsoft.com/office/spreadsheetml/2010/11/main" uri="{DE250136-89BD-433C-8126-D09CA5730AF9}">
        <x15:connection id="Sheet1">
          <x15:rangePr sourceName="_xlcn.WorksheetConnection_ANALYSEVENT.xlsxSheet1"/>
        </x15:connection>
      </ext>
    </extLst>
  </connection>
</connections>
</file>

<file path=xl/sharedStrings.xml><?xml version="1.0" encoding="utf-8"?>
<sst xmlns="http://schemas.openxmlformats.org/spreadsheetml/2006/main" count="1970" uniqueCount="153">
  <si>
    <t>Date</t>
  </si>
  <si>
    <t>Client</t>
  </si>
  <si>
    <t>Client Père</t>
  </si>
  <si>
    <t>Famille</t>
  </si>
  <si>
    <t>Type Produit</t>
  </si>
  <si>
    <t>Produit</t>
  </si>
  <si>
    <t>Désignation</t>
  </si>
  <si>
    <t>Quantité</t>
  </si>
  <si>
    <t>P.U / H.T</t>
  </si>
  <si>
    <t>Valeur  HT</t>
  </si>
  <si>
    <t>Valeur TTC</t>
  </si>
  <si>
    <t>Tomate</t>
  </si>
  <si>
    <t>PFCT001</t>
  </si>
  <si>
    <t>CONCENTRÉ TOMATE NOUR 22% 380 GR</t>
  </si>
  <si>
    <t>PFCT002</t>
  </si>
  <si>
    <t>CONCENTRÉ TOMATE NOUR 22% 760 GR</t>
  </si>
  <si>
    <t>PFCC004</t>
  </si>
  <si>
    <t>CONFITURE ABRICOT 800 GR</t>
  </si>
  <si>
    <t>PFCT011</t>
  </si>
  <si>
    <t>DOUBLE CONCENTRÉ TOMATE 28% 400 GR</t>
  </si>
  <si>
    <t>PFCT012</t>
  </si>
  <si>
    <t>DOUBLE CONCENTRÉ TOMATE 28% 800 GR</t>
  </si>
  <si>
    <t>CON02</t>
  </si>
  <si>
    <t>CONSIGNATION PALETTES</t>
  </si>
  <si>
    <t>PFCC018</t>
  </si>
  <si>
    <t>CONFITURE EXTRA POMME 400 GR</t>
  </si>
  <si>
    <t>LAIFAOUI NOUREDDINE</t>
  </si>
  <si>
    <t>DISTRIBUTEUR</t>
  </si>
  <si>
    <t>EURL CODIGEC</t>
  </si>
  <si>
    <t>BOUKHEZAR ABDELHAKIM</t>
  </si>
  <si>
    <t>KHELIFI DJEMAOUI BESKRA</t>
  </si>
  <si>
    <t>AMIR EDDINE TEMOUSSI</t>
  </si>
  <si>
    <t>SARL AGROLGICA</t>
  </si>
  <si>
    <t>GOFFI SAMI</t>
  </si>
  <si>
    <t>EURL BAALI LI TIDJARA WA SINAA</t>
  </si>
  <si>
    <t>HICHEM LARBI</t>
  </si>
  <si>
    <t>SOUIGAT YACIN</t>
  </si>
  <si>
    <t>SOUALMIA YOUCEF</t>
  </si>
  <si>
    <t>SAOUD MOHAMED</t>
  </si>
  <si>
    <t>CHOUDER SAMIR</t>
  </si>
  <si>
    <t>SARL IKHOUA LI TAGHDIA</t>
  </si>
  <si>
    <t>HADJ ATTOU NOUREDDINE</t>
  </si>
  <si>
    <t>SARL KHALI FOOD DISTRIBUTION ET VALUATION</t>
  </si>
  <si>
    <t>PFCH014</t>
  </si>
  <si>
    <t>HARISSA 760 GR</t>
  </si>
  <si>
    <t>PFCH015</t>
  </si>
  <si>
    <t>HARISSA 380 GR</t>
  </si>
  <si>
    <t>SARL SSAMI ISMAIL</t>
  </si>
  <si>
    <t>BENHAMIDA</t>
  </si>
  <si>
    <t>PFCC020</t>
  </si>
  <si>
    <t>CONFITURE EXTRA D'ORANGE 400 GR</t>
  </si>
  <si>
    <t>RABIE KHEDDOUMA</t>
  </si>
  <si>
    <t>EURL DJEDIDEN FOOD</t>
  </si>
  <si>
    <t>EURL MANAGER OUEST</t>
  </si>
  <si>
    <t>HOUICHITI RADOUANE</t>
  </si>
  <si>
    <t>ANGAL SALAH</t>
  </si>
  <si>
    <t>AIDOUNI SENOUCI</t>
  </si>
  <si>
    <t>SARL UNIVERS DISTRIBUTION ET VALUATION</t>
  </si>
  <si>
    <t>PFCC017</t>
  </si>
  <si>
    <t>CONFITURE EXTRA FRAISE 400 GR</t>
  </si>
  <si>
    <t>FRIKH AIMEN MOHAMED</t>
  </si>
  <si>
    <t>SARL IDEAL GOLD</t>
  </si>
  <si>
    <t>BELLALA YOUCEF</t>
  </si>
  <si>
    <t>SNC MESSAGRO MESSAOUDI</t>
  </si>
  <si>
    <t>Somme de Quantité</t>
  </si>
  <si>
    <t>Vent Total</t>
  </si>
  <si>
    <t>Désignation2</t>
  </si>
  <si>
    <t>PFCC022</t>
  </si>
  <si>
    <t>CONFITURE EXTRA ABRICOT 400 GR</t>
  </si>
  <si>
    <t>TAREK LAMARA</t>
  </si>
  <si>
    <t>Column Labels</t>
  </si>
  <si>
    <t>Row Labels</t>
  </si>
  <si>
    <t>Grand Total</t>
  </si>
  <si>
    <t>(All)</t>
  </si>
  <si>
    <t>(Multiple Items)</t>
  </si>
  <si>
    <t>ERI / CHELGHOUM EL AID</t>
  </si>
  <si>
    <t>5 EME REGION</t>
  </si>
  <si>
    <t>5 ÈME RÉGION</t>
  </si>
  <si>
    <t>PFMT016</t>
  </si>
  <si>
    <t>DOUBLE CONCENTRE DE TOMATE 4/4</t>
  </si>
  <si>
    <t>BTB</t>
  </si>
  <si>
    <t>CON01</t>
  </si>
  <si>
    <t>CONSIGNATION FUT</t>
  </si>
  <si>
    <t>SARL TASSALA FOOD</t>
  </si>
  <si>
    <t>PSFK025-2024</t>
  </si>
  <si>
    <t>PUREE D'ABRICOT KG</t>
  </si>
  <si>
    <t>ERI / ORAN</t>
  </si>
  <si>
    <t>2 EM REGION</t>
  </si>
  <si>
    <t>2 ÈME RÉGION</t>
  </si>
  <si>
    <t>ERI / BLIDA</t>
  </si>
  <si>
    <t>1 ER REGION</t>
  </si>
  <si>
    <t>1 ÈRE RÉGION</t>
  </si>
  <si>
    <t>ERI / BECHAR</t>
  </si>
  <si>
    <t>3 EME REGION</t>
  </si>
  <si>
    <t>3 ÈME RÉGION</t>
  </si>
  <si>
    <t>EURL NOOR DISTRIBUTION</t>
  </si>
  <si>
    <t>ERI / TAMANRASSET</t>
  </si>
  <si>
    <t>6 EME REGION</t>
  </si>
  <si>
    <t>6 ÈME RÉGION</t>
  </si>
  <si>
    <t>BOUKERCHE BILEL</t>
  </si>
  <si>
    <t>KADA RABAH</t>
  </si>
  <si>
    <t>DOUAFI MOHAMMED</t>
  </si>
  <si>
    <t>SARL COMUNIVERS</t>
  </si>
  <si>
    <t>ABDELKADER ABDICHE</t>
  </si>
  <si>
    <t>EURL AYA FOOD</t>
  </si>
  <si>
    <t>ESPI Jijel</t>
  </si>
  <si>
    <t>MDN</t>
  </si>
  <si>
    <t>ESPI / BATNA</t>
  </si>
  <si>
    <t>ESPI TEBESSA</t>
  </si>
  <si>
    <t>SARL CPC CONSERVERIE</t>
  </si>
  <si>
    <t>PSFK028-2024</t>
  </si>
  <si>
    <t>CONCENTRÉ TOMATE 34% - 38%</t>
  </si>
  <si>
    <t>TOUALI LAALA</t>
  </si>
  <si>
    <t>P / F SIDI AISSA</t>
  </si>
  <si>
    <t>OUNISSI AMAR CHARAF EDDINE</t>
  </si>
  <si>
    <t>KHELIFI YAHIA</t>
  </si>
  <si>
    <t>BAZIZ AHMED FAKHR EDDINE</t>
  </si>
  <si>
    <t>KHELIFI DJEMOUI GUELMA</t>
  </si>
  <si>
    <t>EURL SEEDS TO FEEDS</t>
  </si>
  <si>
    <t>PSFK027-2024</t>
  </si>
  <si>
    <t>DOUBLE CONCENTRE TOMATE 28% - 30% HOT BREAK</t>
  </si>
  <si>
    <t>13°EMRGI / AIN OUASSARA</t>
  </si>
  <si>
    <t>SARL LIMONADERIE DE LA SOUMAME FRUICADE</t>
  </si>
  <si>
    <t>SARL LIMONADERIE DE LA SOUMAM</t>
  </si>
  <si>
    <t>PSFK017-2024</t>
  </si>
  <si>
    <t>PUREE D'ORANGE RAFFINE KG</t>
  </si>
  <si>
    <t>P/F TIARET</t>
  </si>
  <si>
    <t>2 EME REGION</t>
  </si>
  <si>
    <t>ERI / OUARGLA</t>
  </si>
  <si>
    <t>4 EME REGION</t>
  </si>
  <si>
    <t>4 ÈME RÉGION</t>
  </si>
  <si>
    <t>GHARBI OUALID</t>
  </si>
  <si>
    <t>DOUAFI MED</t>
  </si>
  <si>
    <t>SAF MOHAMED</t>
  </si>
  <si>
    <t>SARL SMART WEST</t>
  </si>
  <si>
    <t>31°EMRGI / BECHAR</t>
  </si>
  <si>
    <t>41° EMRGI HASSI MESSAOUD</t>
  </si>
  <si>
    <t>SARL BELFRUITS</t>
  </si>
  <si>
    <t>SARL DOUIDI FOOD</t>
  </si>
  <si>
    <t>403 BSI/3 BL/ TINDOUF</t>
  </si>
  <si>
    <t>31 RSLA/ FORT LOTFI</t>
  </si>
  <si>
    <t>PFMC017</t>
  </si>
  <si>
    <t>CONFITURE ABRICOT 4/4</t>
  </si>
  <si>
    <t>BENOUIS SAID</t>
  </si>
  <si>
    <t>Customer</t>
  </si>
  <si>
    <t>CIVIL</t>
  </si>
  <si>
    <t>B2B</t>
  </si>
  <si>
    <t>KHELIFI DJEMOUI - BISKRA</t>
  </si>
  <si>
    <t>402 BSI/2 BL/MECHRIA</t>
  </si>
  <si>
    <t>SOUIGAT YACINE</t>
  </si>
  <si>
    <t>LEZAGHEM MEFTAH/SOUIGAT YASSINE</t>
  </si>
  <si>
    <t>DEGGAG NOREDDINE</t>
  </si>
  <si>
    <t>TOUATI ABDELOUAHAB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</si>
</sst>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Daytona"/>
      <family val="2"/>
    </font>
    <font>
      <b/>
      <sz val="11"/>
      <name val="Daytona"/>
      <family val="2"/>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1" fillId="2" borderId="0" xfId="0" applyFont="1" applyFill="1"/>
    <xf numFmtId="4" fontId="2" fillId="0" borderId="0" xfId="0" applyNumberFormat="1" applyFont="1" applyAlignment="1">
      <alignment horizontal="center"/>
    </xf>
    <xf numFmtId="3"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3" formatCode="#,##0"/>
    </dxf>
    <dxf>
      <alignment horizontal="center"/>
    </dxf>
    <dxf>
      <fill>
        <patternFill patternType="solid">
          <bgColor theme="3" tint="0.59999389629810485"/>
        </patternFill>
      </fill>
    </dxf>
    <dxf>
      <font>
        <color auto="1"/>
      </font>
    </dxf>
    <dxf>
      <font>
        <b/>
      </font>
    </dxf>
    <dxf>
      <numFmt numFmtId="4" formatCode="#,##0.00"/>
    </dxf>
    <dxf>
      <font>
        <name val="Daytona"/>
        <scheme val="none"/>
      </font>
    </dxf>
    <dxf>
      <font>
        <name val="Daytona"/>
        <scheme val="none"/>
      </font>
    </dxf>
    <dxf>
      <font>
        <name val="Daytona"/>
        <scheme val="none"/>
      </font>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[ANALYSE VENT.xlsx]Croisement Dynamic Vent!Tableau croisé dynamique1</c:name>
    <c:fmtId val="5"/>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721628855798969E-2"/>
          <c:y val="0.13502743975184919"/>
          <c:w val="0.73689779371637965"/>
          <c:h val="0.73473681698878557"/>
        </c:manualLayout>
      </c:layout>
      <c:lineChart>
        <c:grouping val="stacked"/>
        <c:varyColors val="0"/>
        <c:ser>
          <c:idx val="0"/>
          <c:order val="0"/>
          <c:tx>
            <c:strRef>
              <c:f>'Croisement Dynamic Vent'!$B$4:$B$5</c:f>
              <c:strCache>
                <c:ptCount val="1"/>
                <c:pt idx="0">
                  <c:v>CONCENTRÉ TOMATE NOUR 22% 380 GR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'Croisement Dynamic Vent'!$A$6:$A$18</c:f>
              <c:strCache>
                <c:ptCount val="12"/>
                <c:pt idx="0">
                  <c:v>05/01/2025</c:v>
                </c:pt>
                <c:pt idx="1">
                  <c:v>06/01/2025</c:v>
                </c:pt>
                <c:pt idx="2">
                  <c:v>07/01/2025</c:v>
                </c:pt>
                <c:pt idx="3">
                  <c:v>08/01/2025</c:v>
                </c:pt>
                <c:pt idx="4">
                  <c:v>09/01/2025</c:v>
                </c:pt>
                <c:pt idx="5">
                  <c:v>13/01/2025</c:v>
                </c:pt>
                <c:pt idx="6">
                  <c:v>14/01/2025</c:v>
                </c:pt>
                <c:pt idx="7">
                  <c:v>15/01/2025</c:v>
                </c:pt>
                <c:pt idx="8">
                  <c:v>16/01/2025</c:v>
                </c:pt>
                <c:pt idx="9">
                  <c:v>19/01/2025</c:v>
                </c:pt>
                <c:pt idx="10">
                  <c:v>20/01/2025</c:v>
                </c:pt>
                <c:pt idx="11">
                  <c:v>21/01/2025</c:v>
                </c:pt>
              </c:strCache>
            </c:strRef>
          </c:cat>
          <c:val>
            <c:numRef>
              <c:f>'Croisement Dynamic Vent'!$B$6:$B$18</c:f>
              <c:numCache>
                <c:formatCode>General</c:formatCode>
                <c:ptCount val="12"/>
                <c:pt idx="0">
                  <c:v>91200</c:v>
                </c:pt>
                <c:pt idx="2">
                  <c:v>1680</c:v>
                </c:pt>
                <c:pt idx="8">
                  <c:v>163200</c:v>
                </c:pt>
                <c:pt idx="9">
                  <c:v>52800</c:v>
                </c:pt>
                <c:pt idx="10">
                  <c:v>9600</c:v>
                </c:pt>
                <c:pt idx="11">
                  <c:v>16800</c:v>
                </c:pt>
              </c:numCache>
            </c:numRef>
          </c:val>
          <c:smooth val="0"/>
          <c:extLst>
            <c:ext xmlns:c16="http://schemas.microsoft.com/office/drawing/2014/chart" uri="{C3380CC4-5D6E-409C-BE32-E72D297353CC}">
              <c16:uniqueId val="{00000000-5CAE-4EF8-8254-6D5A0F647EC7}"/>
            </c:ext>
          </c:extLst>
        </c:ser>
        <c:ser>
          <c:idx val="1"/>
          <c:order val="1"/>
          <c:tx>
            <c:strRef>
              <c:f>'Croisement Dynamic Vent'!$C$4:$C$5</c:f>
              <c:strCache>
                <c:ptCount val="1"/>
                <c:pt idx="0">
                  <c:v>CONCENTRÉ TOMATE NOUR 22% 760 GR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'Croisement Dynamic Vent'!$A$6:$A$18</c:f>
              <c:strCache>
                <c:ptCount val="12"/>
                <c:pt idx="0">
                  <c:v>05/01/2025</c:v>
                </c:pt>
                <c:pt idx="1">
                  <c:v>06/01/2025</c:v>
                </c:pt>
                <c:pt idx="2">
                  <c:v>07/01/2025</c:v>
                </c:pt>
                <c:pt idx="3">
                  <c:v>08/01/2025</c:v>
                </c:pt>
                <c:pt idx="4">
                  <c:v>09/01/2025</c:v>
                </c:pt>
                <c:pt idx="5">
                  <c:v>13/01/2025</c:v>
                </c:pt>
                <c:pt idx="6">
                  <c:v>14/01/2025</c:v>
                </c:pt>
                <c:pt idx="7">
                  <c:v>15/01/2025</c:v>
                </c:pt>
                <c:pt idx="8">
                  <c:v>16/01/2025</c:v>
                </c:pt>
                <c:pt idx="9">
                  <c:v>19/01/2025</c:v>
                </c:pt>
                <c:pt idx="10">
                  <c:v>20/01/2025</c:v>
                </c:pt>
                <c:pt idx="11">
                  <c:v>21/01/2025</c:v>
                </c:pt>
              </c:strCache>
            </c:strRef>
          </c:cat>
          <c:val>
            <c:numRef>
              <c:f>'Croisement Dynamic Vent'!$C$6:$C$18</c:f>
              <c:numCache>
                <c:formatCode>General</c:formatCode>
                <c:ptCount val="12"/>
                <c:pt idx="0">
                  <c:v>25200</c:v>
                </c:pt>
                <c:pt idx="2">
                  <c:v>1200</c:v>
                </c:pt>
                <c:pt idx="8">
                  <c:v>32400</c:v>
                </c:pt>
                <c:pt idx="9">
                  <c:v>14400</c:v>
                </c:pt>
                <c:pt idx="10">
                  <c:v>19200</c:v>
                </c:pt>
                <c:pt idx="11">
                  <c:v>10800</c:v>
                </c:pt>
              </c:numCache>
            </c:numRef>
          </c:val>
          <c:smooth val="0"/>
          <c:extLst>
            <c:ext xmlns:c16="http://schemas.microsoft.com/office/drawing/2014/chart" uri="{C3380CC4-5D6E-409C-BE32-E72D297353CC}">
              <c16:uniqueId val="{00000001-9D5D-44CF-8CFD-7BA3A650EB1C}"/>
            </c:ext>
          </c:extLst>
        </c:ser>
        <c:ser>
          <c:idx val="2"/>
          <c:order val="2"/>
          <c:tx>
            <c:strRef>
              <c:f>'Croisement Dynamic Vent'!$D$4:$D$5</c:f>
              <c:strCache>
                <c:ptCount val="1"/>
                <c:pt idx="0">
                  <c:v>DOUBLE CONCENTRÉ TOMATE 28% 400 GR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'Croisement Dynamic Vent'!$A$6:$A$18</c:f>
              <c:strCache>
                <c:ptCount val="12"/>
                <c:pt idx="0">
                  <c:v>05/01/2025</c:v>
                </c:pt>
                <c:pt idx="1">
                  <c:v>06/01/2025</c:v>
                </c:pt>
                <c:pt idx="2">
                  <c:v>07/01/2025</c:v>
                </c:pt>
                <c:pt idx="3">
                  <c:v>08/01/2025</c:v>
                </c:pt>
                <c:pt idx="4">
                  <c:v>09/01/2025</c:v>
                </c:pt>
                <c:pt idx="5">
                  <c:v>13/01/2025</c:v>
                </c:pt>
                <c:pt idx="6">
                  <c:v>14/01/2025</c:v>
                </c:pt>
                <c:pt idx="7">
                  <c:v>15/01/2025</c:v>
                </c:pt>
                <c:pt idx="8">
                  <c:v>16/01/2025</c:v>
                </c:pt>
                <c:pt idx="9">
                  <c:v>19/01/2025</c:v>
                </c:pt>
                <c:pt idx="10">
                  <c:v>20/01/2025</c:v>
                </c:pt>
                <c:pt idx="11">
                  <c:v>21/01/2025</c:v>
                </c:pt>
              </c:strCache>
            </c:strRef>
          </c:cat>
          <c:val>
            <c:numRef>
              <c:f>'Croisement Dynamic Vent'!$D$6:$D$18</c:f>
              <c:numCache>
                <c:formatCode>General</c:formatCode>
                <c:ptCount val="12"/>
                <c:pt idx="0">
                  <c:v>136800</c:v>
                </c:pt>
                <c:pt idx="4">
                  <c:v>134400</c:v>
                </c:pt>
                <c:pt idx="5">
                  <c:v>105600</c:v>
                </c:pt>
                <c:pt idx="6">
                  <c:v>115200</c:v>
                </c:pt>
                <c:pt idx="9">
                  <c:v>2400</c:v>
                </c:pt>
                <c:pt idx="10">
                  <c:v>9600</c:v>
                </c:pt>
                <c:pt idx="11">
                  <c:v>28800</c:v>
                </c:pt>
              </c:numCache>
            </c:numRef>
          </c:val>
          <c:smooth val="0"/>
          <c:extLst>
            <c:ext xmlns:c16="http://schemas.microsoft.com/office/drawing/2014/chart" uri="{C3380CC4-5D6E-409C-BE32-E72D297353CC}">
              <c16:uniqueId val="{00000005-9D5D-44CF-8CFD-7BA3A650EB1C}"/>
            </c:ext>
          </c:extLst>
        </c:ser>
        <c:ser>
          <c:idx val="3"/>
          <c:order val="3"/>
          <c:tx>
            <c:strRef>
              <c:f>'Croisement Dynamic Vent'!$E$4:$E$5</c:f>
              <c:strCache>
                <c:ptCount val="1"/>
                <c:pt idx="0">
                  <c:v>DOUBLE CONCENTRÉ TOMATE 28% 800 GR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'Croisement Dynamic Vent'!$A$6:$A$18</c:f>
              <c:strCache>
                <c:ptCount val="12"/>
                <c:pt idx="0">
                  <c:v>05/01/2025</c:v>
                </c:pt>
                <c:pt idx="1">
                  <c:v>06/01/2025</c:v>
                </c:pt>
                <c:pt idx="2">
                  <c:v>07/01/2025</c:v>
                </c:pt>
                <c:pt idx="3">
                  <c:v>08/01/2025</c:v>
                </c:pt>
                <c:pt idx="4">
                  <c:v>09/01/2025</c:v>
                </c:pt>
                <c:pt idx="5">
                  <c:v>13/01/2025</c:v>
                </c:pt>
                <c:pt idx="6">
                  <c:v>14/01/2025</c:v>
                </c:pt>
                <c:pt idx="7">
                  <c:v>15/01/2025</c:v>
                </c:pt>
                <c:pt idx="8">
                  <c:v>16/01/2025</c:v>
                </c:pt>
                <c:pt idx="9">
                  <c:v>19/01/2025</c:v>
                </c:pt>
                <c:pt idx="10">
                  <c:v>20/01/2025</c:v>
                </c:pt>
                <c:pt idx="11">
                  <c:v>21/01/2025</c:v>
                </c:pt>
              </c:strCache>
            </c:strRef>
          </c:cat>
          <c:val>
            <c:numRef>
              <c:f>'Croisement Dynamic Vent'!$E$6:$E$18</c:f>
              <c:numCache>
                <c:formatCode>General</c:formatCode>
                <c:ptCount val="12"/>
                <c:pt idx="0">
                  <c:v>164400</c:v>
                </c:pt>
                <c:pt idx="1">
                  <c:v>93600</c:v>
                </c:pt>
                <c:pt idx="2">
                  <c:v>36000</c:v>
                </c:pt>
                <c:pt idx="3">
                  <c:v>54000</c:v>
                </c:pt>
                <c:pt idx="4">
                  <c:v>63600</c:v>
                </c:pt>
                <c:pt idx="5">
                  <c:v>66000</c:v>
                </c:pt>
                <c:pt idx="6">
                  <c:v>49200</c:v>
                </c:pt>
                <c:pt idx="7">
                  <c:v>24000</c:v>
                </c:pt>
                <c:pt idx="8">
                  <c:v>26400</c:v>
                </c:pt>
                <c:pt idx="9">
                  <c:v>1200</c:v>
                </c:pt>
                <c:pt idx="10">
                  <c:v>52800</c:v>
                </c:pt>
                <c:pt idx="11">
                  <c:v>54000</c:v>
                </c:pt>
              </c:numCache>
            </c:numRef>
          </c:val>
          <c:smooth val="0"/>
          <c:extLst>
            <c:ext xmlns:c16="http://schemas.microsoft.com/office/drawing/2014/chart" uri="{C3380CC4-5D6E-409C-BE32-E72D297353CC}">
              <c16:uniqueId val="{00000006-9D5D-44CF-8CFD-7BA3A650EB1C}"/>
            </c:ext>
          </c:extLst>
        </c:ser>
        <c:dLbls>
          <c:dLblPos val="t"/>
          <c:showLegendKey val="0"/>
          <c:showVal val="1"/>
          <c:showCatName val="0"/>
          <c:showSerName val="0"/>
          <c:showPercent val="0"/>
          <c:showBubbleSize val="0"/>
        </c:dLbls>
        <c:marker val="1"/>
        <c:smooth val="0"/>
        <c:axId val="1275182784"/>
        <c:axId val="1275189984"/>
      </c:lineChart>
      <c:catAx>
        <c:axId val="127518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5189984"/>
        <c:crosses val="autoZero"/>
        <c:auto val="1"/>
        <c:lblAlgn val="ctr"/>
        <c:lblOffset val="100"/>
        <c:noMultiLvlLbl val="0"/>
      </c:catAx>
      <c:valAx>
        <c:axId val="127518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518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200025</xdr:rowOff>
    </xdr:from>
    <xdr:to>
      <xdr:col>12</xdr:col>
      <xdr:colOff>161925</xdr:colOff>
      <xdr:row>22</xdr:row>
      <xdr:rowOff>142875</xdr:rowOff>
    </xdr:to>
    <xdr:graphicFrame macro="">
      <xdr:nvGraphicFramePr>
        <xdr:cNvPr id="4" name="Graphique 3">
          <a:extLst>
            <a:ext uri="{FF2B5EF4-FFF2-40B4-BE49-F238E27FC236}">
              <a16:creationId xmlns:a16="http://schemas.microsoft.com/office/drawing/2014/main" id="{721A9679-61F9-441C-91F7-4103FF175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xdr:row>
      <xdr:rowOff>114301</xdr:rowOff>
    </xdr:from>
    <xdr:to>
      <xdr:col>12</xdr:col>
      <xdr:colOff>304800</xdr:colOff>
      <xdr:row>10</xdr:row>
      <xdr:rowOff>19051</xdr:rowOff>
    </xdr:to>
    <mc:AlternateContent xmlns:mc="http://schemas.openxmlformats.org/markup-compatibility/2006" xmlns:a14="http://schemas.microsoft.com/office/drawing/2010/main">
      <mc:Choice Requires="a14">
        <xdr:graphicFrame macro="">
          <xdr:nvGraphicFramePr>
            <xdr:cNvPr id="5" name="Client 1">
              <a:extLst>
                <a:ext uri="{FF2B5EF4-FFF2-40B4-BE49-F238E27FC236}">
                  <a16:creationId xmlns:a16="http://schemas.microsoft.com/office/drawing/2014/main" id="{C2DCD0AE-E204-48AD-959D-E0276CEED45F}"/>
                </a:ext>
              </a:extLst>
            </xdr:cNvPr>
            <xdr:cNvGraphicFramePr/>
          </xdr:nvGraphicFramePr>
          <xdr:xfrm>
            <a:off x="0" y="0"/>
            <a:ext cx="0" cy="0"/>
          </xdr:xfrm>
          <a:graphic>
            <a:graphicData uri="http://schemas.microsoft.com/office/drawing/2010/slicer">
              <sle:slicer xmlns:sle="http://schemas.microsoft.com/office/drawing/2010/slicer" name="Client 1"/>
            </a:graphicData>
          </a:graphic>
        </xdr:graphicFrame>
      </mc:Choice>
      <mc:Fallback xmlns="">
        <xdr:sp macro="" textlink="">
          <xdr:nvSpPr>
            <xdr:cNvPr id="0" name=""/>
            <xdr:cNvSpPr>
              <a:spLocks noTextEdit="1"/>
            </xdr:cNvSpPr>
          </xdr:nvSpPr>
          <xdr:spPr>
            <a:xfrm>
              <a:off x="7791450" y="552451"/>
              <a:ext cx="1828800" cy="142875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11</xdr:col>
      <xdr:colOff>723900</xdr:colOff>
      <xdr:row>2</xdr:row>
      <xdr:rowOff>76201</xdr:rowOff>
    </xdr:from>
    <xdr:to>
      <xdr:col>14</xdr:col>
      <xdr:colOff>266700</xdr:colOff>
      <xdr:row>11</xdr:row>
      <xdr:rowOff>133351</xdr:rowOff>
    </xdr:to>
    <mc:AlternateContent xmlns:mc="http://schemas.openxmlformats.org/markup-compatibility/2006" xmlns:a14="http://schemas.microsoft.com/office/drawing/2010/main">
      <mc:Choice Requires="a14">
        <xdr:graphicFrame macro="">
          <xdr:nvGraphicFramePr>
            <xdr:cNvPr id="6" name="Famille 2">
              <a:extLst>
                <a:ext uri="{FF2B5EF4-FFF2-40B4-BE49-F238E27FC236}">
                  <a16:creationId xmlns:a16="http://schemas.microsoft.com/office/drawing/2014/main" id="{F0670FEB-98FB-4189-B381-5DBAF2B22656}"/>
                </a:ext>
              </a:extLst>
            </xdr:cNvPr>
            <xdr:cNvGraphicFramePr/>
          </xdr:nvGraphicFramePr>
          <xdr:xfrm>
            <a:off x="0" y="0"/>
            <a:ext cx="0" cy="0"/>
          </xdr:xfrm>
          <a:graphic>
            <a:graphicData uri="http://schemas.microsoft.com/office/drawing/2010/slicer">
              <sle:slicer xmlns:sle="http://schemas.microsoft.com/office/drawing/2010/slicer" name="Famille 2"/>
            </a:graphicData>
          </a:graphic>
        </xdr:graphicFrame>
      </mc:Choice>
      <mc:Fallback xmlns="">
        <xdr:sp macro="" textlink="">
          <xdr:nvSpPr>
            <xdr:cNvPr id="0" name=""/>
            <xdr:cNvSpPr>
              <a:spLocks noTextEdit="1"/>
            </xdr:cNvSpPr>
          </xdr:nvSpPr>
          <xdr:spPr>
            <a:xfrm>
              <a:off x="9182100" y="514351"/>
              <a:ext cx="1828800" cy="17716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3</xdr:row>
      <xdr:rowOff>28575</xdr:rowOff>
    </xdr:from>
    <xdr:to>
      <xdr:col>16</xdr:col>
      <xdr:colOff>314325</xdr:colOff>
      <xdr:row>10</xdr:row>
      <xdr:rowOff>95250</xdr:rowOff>
    </xdr:to>
    <mc:AlternateContent xmlns:mc="http://schemas.openxmlformats.org/markup-compatibility/2006" xmlns:a14="http://schemas.microsoft.com/office/drawing/2010/main">
      <mc:Choice Requires="a14">
        <xdr:graphicFrame macro="">
          <xdr:nvGraphicFramePr>
            <xdr:cNvPr id="7" name="Type Produit 1">
              <a:extLst>
                <a:ext uri="{FF2B5EF4-FFF2-40B4-BE49-F238E27FC236}">
                  <a16:creationId xmlns:a16="http://schemas.microsoft.com/office/drawing/2014/main" id="{7907C315-577E-4210-8751-0EFC12358007}"/>
                </a:ext>
              </a:extLst>
            </xdr:cNvPr>
            <xdr:cNvGraphicFramePr/>
          </xdr:nvGraphicFramePr>
          <xdr:xfrm>
            <a:off x="0" y="0"/>
            <a:ext cx="0" cy="0"/>
          </xdr:xfrm>
          <a:graphic>
            <a:graphicData uri="http://schemas.microsoft.com/office/drawing/2010/slicer">
              <sle:slicer xmlns:sle="http://schemas.microsoft.com/office/drawing/2010/slicer" name="Type Produit 1"/>
            </a:graphicData>
          </a:graphic>
        </xdr:graphicFrame>
      </mc:Choice>
      <mc:Fallback xmlns="">
        <xdr:sp macro="" textlink="">
          <xdr:nvSpPr>
            <xdr:cNvPr id="0" name=""/>
            <xdr:cNvSpPr>
              <a:spLocks noTextEdit="1"/>
            </xdr:cNvSpPr>
          </xdr:nvSpPr>
          <xdr:spPr>
            <a:xfrm>
              <a:off x="10734675" y="657225"/>
              <a:ext cx="1828800" cy="140017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523875</xdr:colOff>
      <xdr:row>18</xdr:row>
      <xdr:rowOff>171450</xdr:rowOff>
    </xdr:from>
    <xdr:to>
      <xdr:col>3</xdr:col>
      <xdr:colOff>2352675</xdr:colOff>
      <xdr:row>32</xdr:row>
      <xdr:rowOff>28575</xdr:rowOff>
    </xdr:to>
    <mc:AlternateContent xmlns:mc="http://schemas.openxmlformats.org/markup-compatibility/2006" xmlns:a14="http://schemas.microsoft.com/office/drawing/2010/main">
      <mc:Choice Requires="a14">
        <xdr:graphicFrame macro="">
          <xdr:nvGraphicFramePr>
            <xdr:cNvPr id="3" name="Client">
              <a:extLst>
                <a:ext uri="{FF2B5EF4-FFF2-40B4-BE49-F238E27FC236}">
                  <a16:creationId xmlns:a16="http://schemas.microsoft.com/office/drawing/2014/main" id="{48F3F213-6D10-DC11-6E26-3BA59831420A}"/>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6048375" y="3600450"/>
              <a:ext cx="1828800" cy="2524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4</xdr:col>
      <xdr:colOff>1895475</xdr:colOff>
      <xdr:row>18</xdr:row>
      <xdr:rowOff>171450</xdr:rowOff>
    </xdr:from>
    <xdr:to>
      <xdr:col>6</xdr:col>
      <xdr:colOff>390525</xdr:colOff>
      <xdr:row>32</xdr:row>
      <xdr:rowOff>28575</xdr:rowOff>
    </xdr:to>
    <mc:AlternateContent xmlns:mc="http://schemas.openxmlformats.org/markup-compatibility/2006" xmlns:a14="http://schemas.microsoft.com/office/drawing/2010/main">
      <mc:Choice Requires="a14">
        <xdr:graphicFrame macro="">
          <xdr:nvGraphicFramePr>
            <xdr:cNvPr id="4" name="Famille">
              <a:extLst>
                <a:ext uri="{FF2B5EF4-FFF2-40B4-BE49-F238E27FC236}">
                  <a16:creationId xmlns:a16="http://schemas.microsoft.com/office/drawing/2014/main" id="{0FDBC48D-2F83-1041-1DAA-5EF5434D3BF2}"/>
                </a:ext>
              </a:extLst>
            </xdr:cNvPr>
            <xdr:cNvGraphicFramePr/>
          </xdr:nvGraphicFramePr>
          <xdr:xfrm>
            <a:off x="0" y="0"/>
            <a:ext cx="0" cy="0"/>
          </xdr:xfrm>
          <a:graphic>
            <a:graphicData uri="http://schemas.microsoft.com/office/drawing/2010/slicer">
              <sle:slicer xmlns:sle="http://schemas.microsoft.com/office/drawing/2010/slicer" name="Famille"/>
            </a:graphicData>
          </a:graphic>
        </xdr:graphicFrame>
      </mc:Choice>
      <mc:Fallback xmlns="">
        <xdr:sp macro="" textlink="">
          <xdr:nvSpPr>
            <xdr:cNvPr id="0" name=""/>
            <xdr:cNvSpPr>
              <a:spLocks noTextEdit="1"/>
            </xdr:cNvSpPr>
          </xdr:nvSpPr>
          <xdr:spPr>
            <a:xfrm>
              <a:off x="10239375" y="3600450"/>
              <a:ext cx="1828800" cy="2524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3</xdr:col>
      <xdr:colOff>2867025</xdr:colOff>
      <xdr:row>16</xdr:row>
      <xdr:rowOff>76200</xdr:rowOff>
    </xdr:from>
    <xdr:to>
      <xdr:col>4</xdr:col>
      <xdr:colOff>1828800</xdr:colOff>
      <xdr:row>29</xdr:row>
      <xdr:rowOff>123825</xdr:rowOff>
    </xdr:to>
    <mc:AlternateContent xmlns:mc="http://schemas.openxmlformats.org/markup-compatibility/2006" xmlns:a14="http://schemas.microsoft.com/office/drawing/2010/main">
      <mc:Choice Requires="a14">
        <xdr:graphicFrame macro="">
          <xdr:nvGraphicFramePr>
            <xdr:cNvPr id="5" name="Type Produit">
              <a:extLst>
                <a:ext uri="{FF2B5EF4-FFF2-40B4-BE49-F238E27FC236}">
                  <a16:creationId xmlns:a16="http://schemas.microsoft.com/office/drawing/2014/main" id="{FE1475C1-1743-CCDE-5F15-A4A5C11090F1}"/>
                </a:ext>
              </a:extLst>
            </xdr:cNvPr>
            <xdr:cNvGraphicFramePr/>
          </xdr:nvGraphicFramePr>
          <xdr:xfrm>
            <a:off x="0" y="0"/>
            <a:ext cx="0" cy="0"/>
          </xdr:xfrm>
          <a:graphic>
            <a:graphicData uri="http://schemas.microsoft.com/office/drawing/2010/slicer">
              <sle:slicer xmlns:sle="http://schemas.microsoft.com/office/drawing/2010/slicer" name="Type Produit"/>
            </a:graphicData>
          </a:graphic>
        </xdr:graphicFrame>
      </mc:Choice>
      <mc:Fallback xmlns="">
        <xdr:sp macro="" textlink="">
          <xdr:nvSpPr>
            <xdr:cNvPr id="0" name=""/>
            <xdr:cNvSpPr>
              <a:spLocks noTextEdit="1"/>
            </xdr:cNvSpPr>
          </xdr:nvSpPr>
          <xdr:spPr>
            <a:xfrm>
              <a:off x="8343900" y="3124200"/>
              <a:ext cx="1828800" cy="2524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2</xdr:col>
      <xdr:colOff>990600</xdr:colOff>
      <xdr:row>15</xdr:row>
      <xdr:rowOff>152400</xdr:rowOff>
    </xdr:from>
    <xdr:to>
      <xdr:col>3</xdr:col>
      <xdr:colOff>361950</xdr:colOff>
      <xdr:row>29</xdr:row>
      <xdr:rowOff>9525</xdr:rowOff>
    </xdr:to>
    <mc:AlternateContent xmlns:mc="http://schemas.openxmlformats.org/markup-compatibility/2006" xmlns:a14="http://schemas.microsoft.com/office/drawing/2010/main">
      <mc:Choice Requires="a14">
        <xdr:graphicFrame macro="">
          <xdr:nvGraphicFramePr>
            <xdr:cNvPr id="6" name="Famille 1">
              <a:extLst>
                <a:ext uri="{FF2B5EF4-FFF2-40B4-BE49-F238E27FC236}">
                  <a16:creationId xmlns:a16="http://schemas.microsoft.com/office/drawing/2014/main" id="{B08A0B68-B30D-9C67-D3EB-DC44E903F1AD}"/>
                </a:ext>
              </a:extLst>
            </xdr:cNvPr>
            <xdr:cNvGraphicFramePr/>
          </xdr:nvGraphicFramePr>
          <xdr:xfrm>
            <a:off x="0" y="0"/>
            <a:ext cx="0" cy="0"/>
          </xdr:xfrm>
          <a:graphic>
            <a:graphicData uri="http://schemas.microsoft.com/office/drawing/2010/slicer">
              <sle:slicer xmlns:sle="http://schemas.microsoft.com/office/drawing/2010/slicer" name="Famille 1"/>
            </a:graphicData>
          </a:graphic>
        </xdr:graphicFrame>
      </mc:Choice>
      <mc:Fallback xmlns="">
        <xdr:sp macro="" textlink="">
          <xdr:nvSpPr>
            <xdr:cNvPr id="0" name=""/>
            <xdr:cNvSpPr>
              <a:spLocks noTextEdit="1"/>
            </xdr:cNvSpPr>
          </xdr:nvSpPr>
          <xdr:spPr>
            <a:xfrm>
              <a:off x="5324475" y="3009900"/>
              <a:ext cx="1828800" cy="2524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bil BEN KHALED" refreshedDate="45679.348554398151" createdVersion="8" refreshedVersion="8" minRefreshableVersion="3" recordCount="320" xr:uid="{CBC15D6A-388F-46A9-B9B4-DA878BC0C13C}">
  <cacheSource type="worksheet">
    <worksheetSource name="Sheet1"/>
  </cacheSource>
  <cacheFields count="13">
    <cacheField name="Date" numFmtId="14">
      <sharedItems containsSemiMixedTypes="0" containsNonDate="0" containsDate="1" containsString="0" minDate="2024-12-01T00:00:00" maxDate="2025-01-22T00:00:00" count="32">
        <d v="2025-01-05T00:00:00"/>
        <d v="2025-01-06T00:00:00"/>
        <d v="2025-01-07T00:00:00"/>
        <d v="2025-01-08T00:00:00"/>
        <d v="2025-01-09T00:00:00"/>
        <d v="2025-01-13T00:00:00"/>
        <d v="2025-01-14T00:00:00"/>
        <d v="2025-01-15T00:00:00"/>
        <d v="2025-01-16T00:00:00"/>
        <d v="2025-01-19T00:00:00"/>
        <d v="2025-01-20T00:00:00"/>
        <d v="2025-01-21T00:00:00"/>
        <d v="2024-12-01T00:00:00" u="1"/>
        <d v="2024-12-02T00:00:00" u="1"/>
        <d v="2024-12-03T00:00:00" u="1"/>
        <d v="2024-12-04T00:00:00" u="1"/>
        <d v="2024-12-05T00:00:00" u="1"/>
        <d v="2024-12-08T00:00:00" u="1"/>
        <d v="2024-12-09T00:00:00" u="1"/>
        <d v="2024-12-10T00:00:00" u="1"/>
        <d v="2024-12-11T00:00:00" u="1"/>
        <d v="2024-12-12T00:00:00" u="1"/>
        <d v="2024-12-15T00:00:00" u="1"/>
        <d v="2024-12-16T00:00:00" u="1"/>
        <d v="2024-12-17T00:00:00" u="1"/>
        <d v="2024-12-18T00:00:00" u="1"/>
        <d v="2024-12-19T00:00:00" u="1"/>
        <d v="2024-12-22T00:00:00" u="1"/>
        <d v="2024-12-23T00:00:00" u="1"/>
        <d v="2024-12-24T00:00:00" u="1"/>
        <d v="2024-12-25T00:00:00" u="1"/>
        <d v="2024-12-26T00:00:00" u="1"/>
      </sharedItems>
    </cacheField>
    <cacheField name="Customer" numFmtId="0">
      <sharedItems/>
    </cacheField>
    <cacheField name="Client" numFmtId="0">
      <sharedItems count="77">
        <s v="SARL SSAMI ISMAIL"/>
        <s v="HOUICHITI RADOUANE"/>
        <s v="EURL DJEDIDEN FOOD"/>
        <s v="EURL MANAGER OUEST"/>
        <s v="EURL CODIGEC"/>
        <s v="AMIR EDDINE TEMOUSSI"/>
        <s v="GOFFI SAMI"/>
        <s v="AIDOUNI SENOUCI"/>
        <s v="FRIKH AIMEN MOHAMED"/>
        <s v="CHOUDER SAMIR"/>
        <s v="HADJ ATTOU NOUREDDINE"/>
        <s v="RABIE KHEDDOUMA"/>
        <s v="HICHEM LARBI"/>
        <s v="SOUALMIA YOUCEF"/>
        <s v="BELLALA YOUCEF"/>
        <s v="ERI / CHELGHOUM EL AID"/>
        <s v="SARL TASSALA FOOD"/>
        <s v="ERI / ORAN"/>
        <s v="ERI / BLIDA"/>
        <s v="ERI / BECHAR"/>
        <s v="BOUKHEZAR ABDELHAKIM"/>
        <s v="TAREK LAMARA"/>
        <s v="EURL NOOR DISTRIBUTION"/>
        <s v="SARL AGROLGICA"/>
        <s v="ERI / TAMANRASSET"/>
        <s v="BOUKERCHE BILEL"/>
        <s v="DOUAFI MOHAMMED"/>
        <s v="SARL COMUNIVERS"/>
        <s v="ABDELKADER ABDICHE"/>
        <s v="ESPI Jijel"/>
        <s v="ESPI / BATNA"/>
        <s v="ESPI TEBESSA"/>
        <s v="SARL CPC CONSERVERIE"/>
        <s v="TOUALI LAALA"/>
        <s v="P / F SIDI AISSA"/>
        <s v="OUNISSI AMAR CHARAF EDDINE"/>
        <s v="BAZIZ AHMED FAKHR EDDINE"/>
        <s v="EURL SEEDS TO FEEDS"/>
        <s v="13°EMRGI / AIN OUASSARA"/>
        <s v="SARL LIMONADERIE DE LA SOUMAME FRUICADE"/>
        <s v="P/F TIARET"/>
        <s v="ERI / OUARGLA"/>
        <s v="GHARBI OUALID"/>
        <s v="SAF MOHAMED"/>
        <s v="31°EMRGI / BECHAR"/>
        <s v="41° EMRGI HASSI MESSAOUD"/>
        <s v="SARL BELFRUITS"/>
        <s v="SARL DOUIDI FOOD"/>
        <s v="403 BSI/3 BL/ TINDOUF"/>
        <s v="31 RSLA/ FORT LOTFI"/>
        <s v="BENOUIS SAID"/>
        <s v="KHELIFI DJEMOUI - BISKRA"/>
        <s v="402 BSI/2 BL/MECHRIA"/>
        <s v="SOUIGAT YACINE"/>
        <s v="DEGGAG NOREDDINE"/>
        <s v="SPA UNODIS" u="1"/>
        <s v="LOUNIS MAHAMMED" u="1"/>
        <s v="MILOUDIA KADDOUR" u="1"/>
        <s v="SARL HAAL HISPANO ALGERIENNE" u="1"/>
        <s v="ERI /CHALGHOUM LAID" u="1"/>
        <s v="MESSAADI HICHAM" u="1"/>
        <s v="ATD ACIL TRADE END DISTRIBUTION" u="1"/>
        <s v="BALEHOUANE HAKIM" u="1"/>
        <s v="SPA GENERALE CONDIMENTAIRE ALGERIE" u="1"/>
        <s v="21 ° EMRGI / ORAN" u="1"/>
        <s v="FIDOUH AHMED" u="1"/>
        <s v="404 BSI/4 BL /AIN AMENAS" u="1"/>
        <s v="SARL A&amp;A DZ TRADING" u="1"/>
        <s v="ESPI / AIN SALAH" u="1"/>
        <s v="61° EFSI TAMANRASSET" u="1"/>
        <s v="LASHAB SAID" u="1"/>
        <s v="BENNIA ABDELKADER" u="1"/>
        <s v="KADA RABAH" u="1"/>
        <s v="BENHARKAT KHALED" u="1"/>
        <s v="ADJIMI KHALED" u="1"/>
        <s v="BENCHIHEUB BADREDDINE" u="1"/>
        <s v="TOUATI ABDELOUAHAB" u="1"/>
      </sharedItems>
    </cacheField>
    <cacheField name="Client Père" numFmtId="0">
      <sharedItems/>
    </cacheField>
    <cacheField name="Famille" numFmtId="0">
      <sharedItems count="10">
        <s v="DISTRIBUTEUR"/>
        <s v="5 ÈME RÉGION"/>
        <s v="BTB"/>
        <s v="2 ÈME RÉGION"/>
        <s v="1 ÈRE RÉGION"/>
        <s v="3 ÈME RÉGION"/>
        <s v="6 ÈME RÉGION"/>
        <s v="4 ÈME RÉGION"/>
        <s v="GMS" u="1"/>
        <s v="EXPORT" u="1"/>
      </sharedItems>
    </cacheField>
    <cacheField name="Type Produit" numFmtId="0">
      <sharedItems count="4">
        <s v="Confiture"/>
        <s v="Tomate"/>
        <s v="Other"/>
        <s v="Harissa"/>
      </sharedItems>
    </cacheField>
    <cacheField name="Produit" numFmtId="0">
      <sharedItems/>
    </cacheField>
    <cacheField name="Désignation" numFmtId="0">
      <sharedItems count="32">
        <s v="CONFITURE ABRICOT 800 GR"/>
        <s v="DOUBLE CONCENTRÉ TOMATE 28% 400 GR"/>
        <s v="DOUBLE CONCENTRÉ TOMATE 28% 800 GR"/>
        <s v="CONSIGNATION PALETTES"/>
        <s v="CONCENTRÉ TOMATE NOUR 22% 380 GR"/>
        <s v="CONCENTRÉ TOMATE NOUR 22% 760 GR"/>
        <s v="CONFITURE EXTRA FRAISE 400 GR"/>
        <s v="CONFITURE EXTRA D'ORANGE 400 GR"/>
        <s v="CONFITURE EXTRA POMME 400 GR"/>
        <s v="HARISSA 760 GR"/>
        <s v="HARISSA 380 GR"/>
        <s v="CONFITURE EXTRA ABRICOT 400 GR"/>
        <s v="DOUBLE CONCENTRE DE TOMATE 4/4"/>
        <s v="CONSIGNATION FUT"/>
        <s v="PUREE D'ABRICOT KG"/>
        <s v="CONCENTRÉ TOMATE 34% - 38%"/>
        <s v="DOUBLE CONCENTRE TOMATE 28% - 30% HOT BREAK"/>
        <s v="PUREE D'ORANGE RAFFINE KG"/>
        <s v="CONFITURE ABRICOT 4/4"/>
        <s v="CONFITURE ABRICOT 400 GR" u="1"/>
        <s v="CONFITURE EXTRA PECHE 400 GR" u="1"/>
        <s v="CONFITURE D'ORANGE 4/4" u="1"/>
        <s v="CONCENTRÉ TOMATE 34% - 38% EN FUT" u="1"/>
        <s v="PUREE D'ABRICOT RAFFINEE EN FUT" u="1"/>
        <s v="PUREE D'ABRICOT RAFFINEE KG" u="1"/>
        <s v="PUREE DE FRAISE EN FUT" u="1"/>
        <s v="PUREE DE FRAISE KG" u="1"/>
        <s v="DOUBLE CONCENTRE TOMATE 28% - 30% EN FUT" u="1"/>
        <s v="DOUBLE CONCENTRE TOMATE 28% - 30% EN KG" u="1"/>
        <s v="CONFITURE POMME 4/4" u="1"/>
        <s v="CONFITURE FIGUE 400 GR" u="1"/>
        <s v="FRAIS DE TRANSPORT" u="1"/>
      </sharedItems>
      <fieldGroup par="12"/>
    </cacheField>
    <cacheField name="Quantité" numFmtId="0">
      <sharedItems containsSemiMixedTypes="0" containsString="0" containsNumber="1" containsInteger="1" minValue="1" maxValue="52800"/>
    </cacheField>
    <cacheField name="P.U / H.T" numFmtId="0">
      <sharedItems containsSemiMixedTypes="0" containsString="0" containsNumber="1" minValue="0" maxValue="2500"/>
    </cacheField>
    <cacheField name="Valeur  HT" numFmtId="0">
      <sharedItems containsSemiMixedTypes="0" containsString="0" containsNumber="1" minValue="0" maxValue="6655462.1848739404"/>
    </cacheField>
    <cacheField name="Valeur TTC" numFmtId="0">
      <sharedItems containsSemiMixedTypes="0" containsString="0" containsNumber="1" minValue="0" maxValue="7920000"/>
    </cacheField>
    <cacheField name="Désignation2" numFmtId="0" databaseField="0">
      <fieldGroup base="7">
        <discretePr count="32">
          <x v="5"/>
          <x v="5"/>
          <x v="5"/>
          <x v="0"/>
          <x v="5"/>
          <x v="5"/>
          <x v="5"/>
          <x v="5"/>
          <x v="5"/>
          <x v="5"/>
          <x v="5"/>
          <x v="6"/>
          <x v="3"/>
          <x v="1"/>
          <x v="7"/>
          <x v="4"/>
          <x v="8"/>
          <x v="9"/>
          <x v="3"/>
          <x v="5"/>
          <x v="5"/>
          <x v="3"/>
          <x v="4"/>
          <x v="4"/>
          <x v="4"/>
          <x v="4"/>
          <x v="4"/>
          <x v="4"/>
          <x v="4"/>
          <x v="3"/>
          <x v="5"/>
          <x v="2"/>
        </discretePr>
        <groupItems count="10">
          <s v="CONSIGNATION PALETTES"/>
          <s v="CONSIGNATION FUT"/>
          <s v="FRAIS DE TRANSPORT"/>
          <s v="Groupe1"/>
          <s v="Groupe2"/>
          <s v="Groupe3"/>
          <s v="CONFITURE EXTRA ABRICOT 400 GR"/>
          <s v="PUREE D'ABRICOT KG"/>
          <s v="DOUBLE CONCENTRE TOMATE 28% - 30% HOT BREAK"/>
          <s v="PUREE D'ORANGE RAFFINE KG"/>
        </groupItems>
      </fieldGroup>
    </cacheField>
  </cacheFields>
  <extLst>
    <ext xmlns:x14="http://schemas.microsoft.com/office/spreadsheetml/2009/9/main" uri="{725AE2AE-9491-48be-B2B4-4EB974FC3084}">
      <x14:pivotCacheDefinition pivotCacheId="823543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x v="0"/>
    <s v="CIVIL"/>
    <x v="0"/>
    <s v="BENHAMIDA"/>
    <x v="0"/>
    <x v="0"/>
    <s v="PFCC004"/>
    <x v="0"/>
    <n v="4800"/>
    <n v="198.31932773109199"/>
    <n v="951932.77310924197"/>
    <n v="1132800"/>
  </r>
  <r>
    <x v="0"/>
    <s v="CIVIL"/>
    <x v="0"/>
    <s v="BENHAMIDA"/>
    <x v="0"/>
    <x v="1"/>
    <s v="PFCT011"/>
    <x v="1"/>
    <n v="24000"/>
    <n v="126.05042016806701"/>
    <n v="3025210.0840336098"/>
    <n v="3600000"/>
  </r>
  <r>
    <x v="0"/>
    <s v="CIVIL"/>
    <x v="0"/>
    <s v="BENHAMIDA"/>
    <x v="0"/>
    <x v="1"/>
    <s v="PFCT012"/>
    <x v="2"/>
    <n v="8400"/>
    <n v="231.09243697478999"/>
    <n v="1941176.4705882401"/>
    <n v="2310000.0000000098"/>
  </r>
  <r>
    <x v="0"/>
    <s v="B2B"/>
    <x v="0"/>
    <s v="BENHAMIDA"/>
    <x v="0"/>
    <x v="2"/>
    <s v="CON02"/>
    <x v="3"/>
    <n v="16"/>
    <n v="0"/>
    <n v="0"/>
    <n v="0"/>
  </r>
  <r>
    <x v="0"/>
    <s v="CIVIL"/>
    <x v="1"/>
    <s v="ANGAL SALAH"/>
    <x v="0"/>
    <x v="1"/>
    <s v="PFCT011"/>
    <x v="1"/>
    <n v="12000"/>
    <n v="126.05042016806701"/>
    <n v="1512605.0420168"/>
    <n v="1800000"/>
  </r>
  <r>
    <x v="0"/>
    <s v="CIVIL"/>
    <x v="1"/>
    <s v="ANGAL SALAH"/>
    <x v="0"/>
    <x v="1"/>
    <s v="PFCT012"/>
    <x v="2"/>
    <n v="18000"/>
    <n v="231.09243697478999"/>
    <n v="4159663.86554622"/>
    <n v="4950000"/>
  </r>
  <r>
    <x v="0"/>
    <s v="B2B"/>
    <x v="1"/>
    <s v="ANGAL SALAH"/>
    <x v="0"/>
    <x v="2"/>
    <s v="CON02"/>
    <x v="3"/>
    <n v="16"/>
    <n v="0"/>
    <n v="0"/>
    <n v="0"/>
  </r>
  <r>
    <x v="0"/>
    <s v="CIVIL"/>
    <x v="2"/>
    <s v="EURL DJEDIDEN FOOD"/>
    <x v="0"/>
    <x v="1"/>
    <s v="PFCT001"/>
    <x v="4"/>
    <n v="31200"/>
    <n v="96.6386554621849"/>
    <n v="3015126.0504201702"/>
    <n v="3588000"/>
  </r>
  <r>
    <x v="0"/>
    <s v="B2B"/>
    <x v="2"/>
    <s v="EURL DJEDIDEN FOOD"/>
    <x v="0"/>
    <x v="1"/>
    <s v="PFCT002"/>
    <x v="5"/>
    <n v="6000"/>
    <n v="178.99159663865501"/>
    <n v="1073949.5798319301"/>
    <n v="1278000"/>
  </r>
  <r>
    <x v="0"/>
    <s v="B2B"/>
    <x v="2"/>
    <s v="EURL DJEDIDEN FOOD"/>
    <x v="0"/>
    <x v="2"/>
    <s v="CON02"/>
    <x v="3"/>
    <n v="16"/>
    <n v="0"/>
    <n v="0"/>
    <n v="0"/>
  </r>
  <r>
    <x v="0"/>
    <s v="B2B"/>
    <x v="2"/>
    <s v="EURL DJEDIDEN FOOD"/>
    <x v="0"/>
    <x v="0"/>
    <s v="PFCC017"/>
    <x v="6"/>
    <n v="2400"/>
    <n v="120.168067226891"/>
    <n v="288403.36134453799"/>
    <n v="343200"/>
  </r>
  <r>
    <x v="0"/>
    <s v="CIVIL"/>
    <x v="2"/>
    <s v="EURL DJEDIDEN FOOD"/>
    <x v="0"/>
    <x v="0"/>
    <s v="PFCC020"/>
    <x v="7"/>
    <n v="2400"/>
    <n v="98.3193277310924"/>
    <n v="235966.386554622"/>
    <n v="280800"/>
  </r>
  <r>
    <x v="0"/>
    <s v="CIVIL"/>
    <x v="3"/>
    <s v="EURL MANAGER OUEST"/>
    <x v="0"/>
    <x v="1"/>
    <s v="PFCT001"/>
    <x v="4"/>
    <n v="28800"/>
    <n v="96.6386554621849"/>
    <n v="2783193.2773109302"/>
    <n v="3311999.9999999902"/>
  </r>
  <r>
    <x v="0"/>
    <s v="B2B"/>
    <x v="3"/>
    <s v="EURL MANAGER OUEST"/>
    <x v="0"/>
    <x v="1"/>
    <s v="PFCT002"/>
    <x v="5"/>
    <n v="7200"/>
    <n v="178.99159663865501"/>
    <n v="1288739.49579832"/>
    <n v="1533600"/>
  </r>
  <r>
    <x v="0"/>
    <s v="CIVIL"/>
    <x v="3"/>
    <s v="EURL MANAGER OUEST"/>
    <x v="0"/>
    <x v="1"/>
    <s v="PFCT011"/>
    <x v="1"/>
    <n v="2400"/>
    <n v="126.05042016806701"/>
    <n v="302521.00840336102"/>
    <n v="360000"/>
  </r>
  <r>
    <x v="0"/>
    <s v="B2B"/>
    <x v="3"/>
    <s v="EURL MANAGER OUEST"/>
    <x v="0"/>
    <x v="2"/>
    <s v="CON02"/>
    <x v="3"/>
    <n v="16"/>
    <n v="0"/>
    <n v="0"/>
    <n v="0"/>
  </r>
  <r>
    <x v="0"/>
    <s v="CIVIL"/>
    <x v="3"/>
    <s v="EURL MANAGER OUEST"/>
    <x v="0"/>
    <x v="0"/>
    <s v="PFCC018"/>
    <x v="8"/>
    <n v="2400"/>
    <n v="89.915966386554601"/>
    <n v="215798.31932773101"/>
    <n v="256800"/>
  </r>
  <r>
    <x v="0"/>
    <s v="CIVIL"/>
    <x v="3"/>
    <s v="EURL MANAGER OUEST"/>
    <x v="0"/>
    <x v="0"/>
    <s v="PFCC020"/>
    <x v="7"/>
    <n v="2400"/>
    <n v="98.3193277310924"/>
    <n v="235966.386554622"/>
    <n v="280800"/>
  </r>
  <r>
    <x v="0"/>
    <s v="CIVIL"/>
    <x v="4"/>
    <s v="EURL CODIGEC"/>
    <x v="0"/>
    <x v="1"/>
    <s v="PFCT001"/>
    <x v="4"/>
    <n v="2400"/>
    <n v="96.6386554621849"/>
    <n v="231932.77310924401"/>
    <n v="276000"/>
  </r>
  <r>
    <x v="0"/>
    <s v="B2B"/>
    <x v="4"/>
    <s v="EURL CODIGEC"/>
    <x v="0"/>
    <x v="2"/>
    <s v="CON02"/>
    <x v="3"/>
    <n v="1"/>
    <n v="0"/>
    <n v="0"/>
    <n v="0"/>
  </r>
  <r>
    <x v="0"/>
    <s v="CIVIL"/>
    <x v="5"/>
    <s v="SARL AGROLGICA"/>
    <x v="0"/>
    <x v="1"/>
    <s v="PFCT012"/>
    <x v="2"/>
    <n v="8400"/>
    <n v="231.09243697478999"/>
    <n v="1941176.4705882401"/>
    <n v="2310000.0000000098"/>
  </r>
  <r>
    <x v="0"/>
    <s v="CIVIL"/>
    <x v="5"/>
    <s v="SARL AGROLGICA"/>
    <x v="0"/>
    <x v="1"/>
    <s v="PFCT012"/>
    <x v="2"/>
    <n v="24000"/>
    <n v="231.09243697478999"/>
    <n v="5546218.4873949597"/>
    <n v="6600000"/>
  </r>
  <r>
    <x v="0"/>
    <s v="CIVIL"/>
    <x v="5"/>
    <s v="SARL AGROLGICA"/>
    <x v="0"/>
    <x v="1"/>
    <s v="PFCT012"/>
    <x v="2"/>
    <n v="24000"/>
    <n v="231.09243697478999"/>
    <n v="5546218.4873949597"/>
    <n v="6600000"/>
  </r>
  <r>
    <x v="0"/>
    <s v="CIVIL"/>
    <x v="5"/>
    <s v="SARL AGROLGICA"/>
    <x v="0"/>
    <x v="3"/>
    <s v="PFCH014"/>
    <x v="9"/>
    <n v="9600"/>
    <n v="214.28571428571399"/>
    <n v="2057142.8571428501"/>
    <n v="2448000"/>
  </r>
  <r>
    <x v="0"/>
    <s v="CIVIL"/>
    <x v="5"/>
    <s v="SARL AGROLGICA"/>
    <x v="0"/>
    <x v="3"/>
    <s v="PFCH015"/>
    <x v="10"/>
    <n v="12000"/>
    <n v="117.64705882352899"/>
    <n v="1411764.70588235"/>
    <n v="1680000"/>
  </r>
  <r>
    <x v="0"/>
    <s v="B2B"/>
    <x v="5"/>
    <s v="SARL AGROLGICA"/>
    <x v="0"/>
    <x v="2"/>
    <s v="CON02"/>
    <x v="3"/>
    <n v="16"/>
    <n v="0"/>
    <n v="0"/>
    <n v="0"/>
  </r>
  <r>
    <x v="0"/>
    <s v="B2B"/>
    <x v="5"/>
    <s v="SARL AGROLGICA"/>
    <x v="0"/>
    <x v="2"/>
    <s v="CON02"/>
    <x v="3"/>
    <n v="18"/>
    <n v="0"/>
    <n v="0"/>
    <n v="0"/>
  </r>
  <r>
    <x v="0"/>
    <s v="B2B"/>
    <x v="5"/>
    <s v="SARL AGROLGICA"/>
    <x v="0"/>
    <x v="2"/>
    <s v="CON02"/>
    <x v="3"/>
    <n v="16"/>
    <n v="0"/>
    <n v="0"/>
    <n v="0"/>
  </r>
  <r>
    <x v="0"/>
    <s v="B2B"/>
    <x v="6"/>
    <s v="EURL BAALI LI TIDJARA WA SINAA"/>
    <x v="0"/>
    <x v="1"/>
    <s v="PFCT002"/>
    <x v="5"/>
    <n v="2400"/>
    <n v="178.99159663865501"/>
    <n v="429579.83193277201"/>
    <n v="511200"/>
  </r>
  <r>
    <x v="0"/>
    <s v="CIVIL"/>
    <x v="6"/>
    <s v="EURL BAALI LI TIDJARA WA SINAA"/>
    <x v="0"/>
    <x v="1"/>
    <s v="PFCT011"/>
    <x v="1"/>
    <n v="12000"/>
    <n v="126.05042016806701"/>
    <n v="1512605.0420168"/>
    <n v="1800000"/>
  </r>
  <r>
    <x v="0"/>
    <s v="CIVIL"/>
    <x v="6"/>
    <s v="EURL BAALI LI TIDJARA WA SINAA"/>
    <x v="0"/>
    <x v="1"/>
    <s v="PFCT012"/>
    <x v="2"/>
    <n v="18000"/>
    <n v="231.09243697478999"/>
    <n v="4159663.86554622"/>
    <n v="4950000"/>
  </r>
  <r>
    <x v="0"/>
    <s v="CIVIL"/>
    <x v="6"/>
    <s v="EURL BAALI LI TIDJARA WA SINAA"/>
    <x v="0"/>
    <x v="1"/>
    <s v="PFCT012"/>
    <x v="2"/>
    <n v="21600"/>
    <n v="231.09243697478999"/>
    <n v="4991596.6386554604"/>
    <n v="5940000"/>
  </r>
  <r>
    <x v="0"/>
    <s v="B2B"/>
    <x v="6"/>
    <s v="EURL BAALI LI TIDJARA WA SINAA"/>
    <x v="0"/>
    <x v="2"/>
    <s v="CON02"/>
    <x v="3"/>
    <n v="16"/>
    <n v="0"/>
    <n v="0"/>
    <n v="0"/>
  </r>
  <r>
    <x v="0"/>
    <s v="B2B"/>
    <x v="6"/>
    <s v="EURL BAALI LI TIDJARA WA SINAA"/>
    <x v="0"/>
    <x v="2"/>
    <s v="CON02"/>
    <x v="3"/>
    <n v="16"/>
    <n v="0"/>
    <n v="0"/>
    <n v="0"/>
  </r>
  <r>
    <x v="0"/>
    <s v="CIVIL"/>
    <x v="7"/>
    <s v="SARL UNIVERS DISTRIBUTION ET VALUATION"/>
    <x v="0"/>
    <x v="1"/>
    <s v="PFCT001"/>
    <x v="4"/>
    <n v="4800"/>
    <n v="96.6386554621849"/>
    <n v="463865.54621848802"/>
    <n v="552000"/>
  </r>
  <r>
    <x v="0"/>
    <s v="B2B"/>
    <x v="7"/>
    <s v="SARL UNIVERS DISTRIBUTION ET VALUATION"/>
    <x v="0"/>
    <x v="2"/>
    <s v="CON02"/>
    <x v="3"/>
    <n v="2"/>
    <n v="0"/>
    <n v="0"/>
    <n v="0"/>
  </r>
  <r>
    <x v="0"/>
    <s v="CIVIL"/>
    <x v="8"/>
    <s v="SARL IDEAL GOLD"/>
    <x v="0"/>
    <x v="1"/>
    <s v="PFCT001"/>
    <x v="4"/>
    <n v="14400"/>
    <n v="96.6386554621849"/>
    <n v="1391596.63865546"/>
    <n v="1656000"/>
  </r>
  <r>
    <x v="0"/>
    <s v="B2B"/>
    <x v="8"/>
    <s v="SARL IDEAL GOLD"/>
    <x v="0"/>
    <x v="1"/>
    <s v="PFCT002"/>
    <x v="5"/>
    <n v="4800"/>
    <n v="178.99159663865501"/>
    <n v="859159.66386554402"/>
    <n v="1022400"/>
  </r>
  <r>
    <x v="0"/>
    <s v="CIVIL"/>
    <x v="8"/>
    <s v="SARL IDEAL GOLD"/>
    <x v="0"/>
    <x v="0"/>
    <s v="PFCC004"/>
    <x v="0"/>
    <n v="1200"/>
    <n v="198.31932773109199"/>
    <n v="237983.19327731"/>
    <n v="283200"/>
  </r>
  <r>
    <x v="0"/>
    <s v="CIVIL"/>
    <x v="8"/>
    <s v="SARL IDEAL GOLD"/>
    <x v="0"/>
    <x v="0"/>
    <s v="PFCC004"/>
    <x v="0"/>
    <n v="2400"/>
    <n v="198.31932773109199"/>
    <n v="475966.38655462099"/>
    <n v="566400"/>
  </r>
  <r>
    <x v="0"/>
    <s v="CIVIL"/>
    <x v="8"/>
    <s v="SARL IDEAL GOLD"/>
    <x v="0"/>
    <x v="1"/>
    <s v="PFCT011"/>
    <x v="1"/>
    <n v="19200"/>
    <n v="126.05042016806701"/>
    <n v="2420168.06722689"/>
    <n v="2880000"/>
  </r>
  <r>
    <x v="0"/>
    <s v="CIVIL"/>
    <x v="8"/>
    <s v="SARL IDEAL GOLD"/>
    <x v="0"/>
    <x v="1"/>
    <s v="PFCT011"/>
    <x v="1"/>
    <n v="31200"/>
    <n v="126.05042016806701"/>
    <n v="3932773.10924369"/>
    <n v="4680000"/>
  </r>
  <r>
    <x v="0"/>
    <s v="CIVIL"/>
    <x v="8"/>
    <s v="SARL IDEAL GOLD"/>
    <x v="0"/>
    <x v="3"/>
    <s v="PFCH014"/>
    <x v="9"/>
    <n v="2400"/>
    <n v="214.28571428571399"/>
    <n v="514285.71428571403"/>
    <n v="611999.99999998999"/>
  </r>
  <r>
    <x v="0"/>
    <s v="CIVIL"/>
    <x v="8"/>
    <s v="SARL IDEAL GOLD"/>
    <x v="0"/>
    <x v="3"/>
    <s v="PFCH015"/>
    <x v="10"/>
    <n v="7200"/>
    <n v="117.64705882352899"/>
    <n v="847058.82352940901"/>
    <n v="1008000"/>
  </r>
  <r>
    <x v="0"/>
    <s v="B2B"/>
    <x v="8"/>
    <s v="SARL IDEAL GOLD"/>
    <x v="0"/>
    <x v="2"/>
    <s v="CON02"/>
    <x v="3"/>
    <n v="16"/>
    <n v="0"/>
    <n v="0"/>
    <n v="0"/>
  </r>
  <r>
    <x v="0"/>
    <s v="B2B"/>
    <x v="8"/>
    <s v="SARL IDEAL GOLD"/>
    <x v="0"/>
    <x v="2"/>
    <s v="CON02"/>
    <x v="3"/>
    <n v="16"/>
    <n v="0"/>
    <n v="0"/>
    <n v="0"/>
  </r>
  <r>
    <x v="0"/>
    <s v="B2B"/>
    <x v="8"/>
    <s v="SARL IDEAL GOLD"/>
    <x v="0"/>
    <x v="0"/>
    <s v="PFCC022"/>
    <x v="11"/>
    <n v="2400"/>
    <n v="109.243697478992"/>
    <n v="262184.873949581"/>
    <n v="312000"/>
  </r>
  <r>
    <x v="0"/>
    <s v="CIVIL"/>
    <x v="9"/>
    <s v="SARL IKHOUA LI TAGHDIA"/>
    <x v="0"/>
    <x v="1"/>
    <s v="PFCT001"/>
    <x v="4"/>
    <n v="9600"/>
    <n v="96.6386554621849"/>
    <n v="927731.09243697498"/>
    <n v="1104000.00000001"/>
  </r>
  <r>
    <x v="0"/>
    <s v="B2B"/>
    <x v="9"/>
    <s v="SARL IKHOUA LI TAGHDIA"/>
    <x v="0"/>
    <x v="1"/>
    <s v="PFCT002"/>
    <x v="5"/>
    <n v="4800"/>
    <n v="178.99159663865501"/>
    <n v="859159.66386554402"/>
    <n v="1022400"/>
  </r>
  <r>
    <x v="0"/>
    <s v="CIVIL"/>
    <x v="9"/>
    <s v="SARL IKHOUA LI TAGHDIA"/>
    <x v="0"/>
    <x v="1"/>
    <s v="PFCT011"/>
    <x v="1"/>
    <n v="12000"/>
    <n v="126.05042016806701"/>
    <n v="1512605.0420168"/>
    <n v="1800000"/>
  </r>
  <r>
    <x v="0"/>
    <s v="CIVIL"/>
    <x v="9"/>
    <s v="SARL IKHOUA LI TAGHDIA"/>
    <x v="0"/>
    <x v="1"/>
    <s v="PFCT011"/>
    <x v="1"/>
    <n v="12000"/>
    <n v="126.05042016806701"/>
    <n v="1512605.0420168"/>
    <n v="1800000"/>
  </r>
  <r>
    <x v="0"/>
    <s v="CIVIL"/>
    <x v="9"/>
    <s v="SARL IKHOUA LI TAGHDIA"/>
    <x v="0"/>
    <x v="1"/>
    <s v="PFCT011"/>
    <x v="1"/>
    <n v="12000"/>
    <n v="126.05042016806701"/>
    <n v="1512605.0420168"/>
    <n v="1800000"/>
  </r>
  <r>
    <x v="0"/>
    <s v="CIVIL"/>
    <x v="9"/>
    <s v="SARL IKHOUA LI TAGHDIA"/>
    <x v="0"/>
    <x v="1"/>
    <s v="PFCT012"/>
    <x v="2"/>
    <n v="6000"/>
    <n v="231.09243697478999"/>
    <n v="1386554.6218487399"/>
    <n v="1650000"/>
  </r>
  <r>
    <x v="0"/>
    <s v="CIVIL"/>
    <x v="9"/>
    <s v="SARL IKHOUA LI TAGHDIA"/>
    <x v="0"/>
    <x v="1"/>
    <s v="PFCT012"/>
    <x v="2"/>
    <n v="18000"/>
    <n v="231.09243697478999"/>
    <n v="4159663.86554622"/>
    <n v="4950000"/>
  </r>
  <r>
    <x v="0"/>
    <s v="CIVIL"/>
    <x v="9"/>
    <s v="SARL IKHOUA LI TAGHDIA"/>
    <x v="0"/>
    <x v="1"/>
    <s v="PFCT012"/>
    <x v="2"/>
    <n v="18000"/>
    <n v="231.09243697478999"/>
    <n v="4159663.86554622"/>
    <n v="4950000"/>
  </r>
  <r>
    <x v="0"/>
    <s v="CIVIL"/>
    <x v="9"/>
    <s v="SARL IKHOUA LI TAGHDIA"/>
    <x v="0"/>
    <x v="3"/>
    <s v="PFCH015"/>
    <x v="10"/>
    <n v="4800"/>
    <n v="117.64705882352899"/>
    <n v="564705.88235293899"/>
    <n v="672000"/>
  </r>
  <r>
    <x v="0"/>
    <s v="B2B"/>
    <x v="9"/>
    <s v="SARL IKHOUA LI TAGHDIA"/>
    <x v="0"/>
    <x v="2"/>
    <s v="CON02"/>
    <x v="3"/>
    <n v="16"/>
    <n v="0"/>
    <n v="0"/>
    <n v="0"/>
  </r>
  <r>
    <x v="0"/>
    <s v="B2B"/>
    <x v="9"/>
    <s v="SARL IKHOUA LI TAGHDIA"/>
    <x v="0"/>
    <x v="2"/>
    <s v="CON02"/>
    <x v="3"/>
    <n v="16"/>
    <n v="0"/>
    <n v="0"/>
    <n v="0"/>
  </r>
  <r>
    <x v="0"/>
    <s v="B2B"/>
    <x v="9"/>
    <s v="SARL IKHOUA LI TAGHDIA"/>
    <x v="0"/>
    <x v="2"/>
    <s v="CON02"/>
    <x v="3"/>
    <n v="16"/>
    <n v="0"/>
    <n v="0"/>
    <n v="0"/>
  </r>
  <r>
    <x v="1"/>
    <s v="CIVIL"/>
    <x v="10"/>
    <s v="SARL KHALI FOOD DISTRIBUTION ET VALUATION"/>
    <x v="0"/>
    <x v="1"/>
    <s v="PFCT012"/>
    <x v="2"/>
    <n v="8400"/>
    <n v="231.09243697478999"/>
    <n v="1941176.4705882401"/>
    <n v="2310000.0000000098"/>
  </r>
  <r>
    <x v="1"/>
    <s v="CIVIL"/>
    <x v="10"/>
    <s v="SARL KHALI FOOD DISTRIBUTION ET VALUATION"/>
    <x v="0"/>
    <x v="3"/>
    <s v="PFCH015"/>
    <x v="10"/>
    <n v="2400"/>
    <n v="117.64705882352899"/>
    <n v="282352.94117647002"/>
    <n v="336000"/>
  </r>
  <r>
    <x v="1"/>
    <s v="B2B"/>
    <x v="10"/>
    <s v="SARL KHALI FOOD DISTRIBUTION ET VALUATION"/>
    <x v="0"/>
    <x v="2"/>
    <s v="CON02"/>
    <x v="3"/>
    <n v="8"/>
    <n v="0"/>
    <n v="0"/>
    <n v="0"/>
  </r>
  <r>
    <x v="1"/>
    <s v="B2B"/>
    <x v="10"/>
    <s v="SARL KHALI FOOD DISTRIBUTION ET VALUATION"/>
    <x v="0"/>
    <x v="0"/>
    <s v="PFCC017"/>
    <x v="6"/>
    <n v="4800"/>
    <n v="120.168067226891"/>
    <n v="576806.72268907703"/>
    <n v="686400.00000001001"/>
  </r>
  <r>
    <x v="1"/>
    <s v="CIVIL"/>
    <x v="11"/>
    <s v="RABIE KHEDDOUMA"/>
    <x v="0"/>
    <x v="1"/>
    <s v="PFCT012"/>
    <x v="2"/>
    <n v="21600"/>
    <n v="231.09243697478999"/>
    <n v="4991596.6386554604"/>
    <n v="5940000"/>
  </r>
  <r>
    <x v="1"/>
    <s v="CIVIL"/>
    <x v="11"/>
    <s v="RABIE KHEDDOUMA"/>
    <x v="0"/>
    <x v="3"/>
    <s v="PFCH014"/>
    <x v="9"/>
    <n v="2400"/>
    <n v="214.28571428571399"/>
    <n v="514285.71428571403"/>
    <n v="611999.99999998999"/>
  </r>
  <r>
    <x v="1"/>
    <s v="B2B"/>
    <x v="11"/>
    <s v="RABIE KHEDDOUMA"/>
    <x v="0"/>
    <x v="2"/>
    <s v="CON02"/>
    <x v="3"/>
    <n v="18"/>
    <n v="0"/>
    <n v="0"/>
    <n v="0"/>
  </r>
  <r>
    <x v="1"/>
    <s v="CIVIL"/>
    <x v="12"/>
    <s v="SOUIGAT YACIN"/>
    <x v="0"/>
    <x v="1"/>
    <s v="PFCT012"/>
    <x v="2"/>
    <n v="24000"/>
    <n v="231.09243697478999"/>
    <n v="5546218.4873949597"/>
    <n v="6600000"/>
  </r>
  <r>
    <x v="1"/>
    <s v="B2B"/>
    <x v="12"/>
    <s v="SOUIGAT YACIN"/>
    <x v="0"/>
    <x v="2"/>
    <s v="CON02"/>
    <x v="3"/>
    <n v="18"/>
    <n v="0"/>
    <n v="0"/>
    <n v="0"/>
  </r>
  <r>
    <x v="1"/>
    <s v="CIVIL"/>
    <x v="13"/>
    <s v="SAOUD MOHAMED"/>
    <x v="0"/>
    <x v="0"/>
    <s v="PFCC004"/>
    <x v="0"/>
    <n v="1200"/>
    <n v="198.31932773109199"/>
    <n v="237983.19327731"/>
    <n v="283200"/>
  </r>
  <r>
    <x v="1"/>
    <s v="CIVIL"/>
    <x v="13"/>
    <s v="SAOUD MOHAMED"/>
    <x v="0"/>
    <x v="0"/>
    <s v="PFCC004"/>
    <x v="0"/>
    <n v="1200"/>
    <n v="198.31932773109199"/>
    <n v="237983.19327731"/>
    <n v="283200"/>
  </r>
  <r>
    <x v="1"/>
    <s v="CIVIL"/>
    <x v="13"/>
    <s v="SAOUD MOHAMED"/>
    <x v="0"/>
    <x v="1"/>
    <s v="PFCT012"/>
    <x v="2"/>
    <n v="10800"/>
    <n v="231.09243697478999"/>
    <n v="2495798.3193277302"/>
    <n v="2970000"/>
  </r>
  <r>
    <x v="1"/>
    <s v="CIVIL"/>
    <x v="13"/>
    <s v="SAOUD MOHAMED"/>
    <x v="0"/>
    <x v="1"/>
    <s v="PFCT012"/>
    <x v="2"/>
    <n v="10800"/>
    <n v="231.09243697478999"/>
    <n v="2495798.3193277302"/>
    <n v="2970000"/>
  </r>
  <r>
    <x v="1"/>
    <s v="B2B"/>
    <x v="13"/>
    <s v="SAOUD MOHAMED"/>
    <x v="0"/>
    <x v="2"/>
    <s v="CON02"/>
    <x v="3"/>
    <n v="8"/>
    <n v="0"/>
    <n v="0"/>
    <n v="0"/>
  </r>
  <r>
    <x v="1"/>
    <s v="B2B"/>
    <x v="13"/>
    <s v="SAOUD MOHAMED"/>
    <x v="0"/>
    <x v="2"/>
    <s v="CON02"/>
    <x v="3"/>
    <n v="8"/>
    <n v="0"/>
    <n v="0"/>
    <n v="0"/>
  </r>
  <r>
    <x v="1"/>
    <s v="CIVIL"/>
    <x v="14"/>
    <s v="SNC MESSAGRO MESSAOUDI"/>
    <x v="0"/>
    <x v="0"/>
    <s v="PFCC004"/>
    <x v="0"/>
    <n v="3600"/>
    <n v="198.31932773109199"/>
    <n v="713949.57983193104"/>
    <n v="849600"/>
  </r>
  <r>
    <x v="1"/>
    <s v="CIVIL"/>
    <x v="14"/>
    <s v="SNC MESSAGRO MESSAOUDI"/>
    <x v="0"/>
    <x v="1"/>
    <s v="PFCT012"/>
    <x v="2"/>
    <n v="18000"/>
    <n v="231.09243697478999"/>
    <n v="4159663.86554622"/>
    <n v="4950000"/>
  </r>
  <r>
    <x v="1"/>
    <s v="CIVIL"/>
    <x v="14"/>
    <s v="SNC MESSAGRO MESSAOUDI"/>
    <x v="0"/>
    <x v="3"/>
    <s v="PFCH015"/>
    <x v="10"/>
    <n v="4800"/>
    <n v="117.64705882352899"/>
    <n v="564705.88235293899"/>
    <n v="672000"/>
  </r>
  <r>
    <x v="1"/>
    <s v="B2B"/>
    <x v="14"/>
    <s v="SNC MESSAGRO MESSAOUDI"/>
    <x v="0"/>
    <x v="2"/>
    <s v="CON02"/>
    <x v="3"/>
    <n v="18"/>
    <n v="0"/>
    <n v="0"/>
    <n v="0"/>
  </r>
  <r>
    <x v="2"/>
    <s v="MDN"/>
    <x v="15"/>
    <s v="5 EME REGION"/>
    <x v="1"/>
    <x v="1"/>
    <s v="PFMT016"/>
    <x v="12"/>
    <n v="25000"/>
    <n v="240.48"/>
    <n v="6012000"/>
    <n v="7154280"/>
  </r>
  <r>
    <x v="2"/>
    <s v="B2B"/>
    <x v="16"/>
    <s v="SARL TASSALA FOOD"/>
    <x v="2"/>
    <x v="2"/>
    <s v="CON01"/>
    <x v="13"/>
    <n v="25"/>
    <n v="2500"/>
    <n v="62500"/>
    <n v="62500"/>
  </r>
  <r>
    <x v="2"/>
    <s v="B2B"/>
    <x v="16"/>
    <s v="SARL TASSALA FOOD"/>
    <x v="2"/>
    <x v="2"/>
    <s v="PSFK025-2024"/>
    <x v="14"/>
    <n v="5250"/>
    <n v="162"/>
    <n v="850500"/>
    <n v="1012095"/>
  </r>
  <r>
    <x v="2"/>
    <s v="MDN"/>
    <x v="17"/>
    <s v="2 EM REGION"/>
    <x v="3"/>
    <x v="1"/>
    <s v="PFMT016"/>
    <x v="12"/>
    <n v="20000"/>
    <n v="240.48"/>
    <n v="4809600"/>
    <n v="5723424"/>
  </r>
  <r>
    <x v="2"/>
    <s v="MDN"/>
    <x v="17"/>
    <s v="2 EM REGION"/>
    <x v="3"/>
    <x v="1"/>
    <s v="PFMT016"/>
    <x v="12"/>
    <n v="20000"/>
    <n v="240.48"/>
    <n v="4809600"/>
    <n v="5723424"/>
  </r>
  <r>
    <x v="2"/>
    <s v="MDN"/>
    <x v="18"/>
    <s v="1 ER REGION"/>
    <x v="4"/>
    <x v="1"/>
    <s v="PFMT016"/>
    <x v="12"/>
    <n v="25000"/>
    <n v="240.48"/>
    <n v="6012000"/>
    <n v="7154280"/>
  </r>
  <r>
    <x v="2"/>
    <s v="MDN"/>
    <x v="18"/>
    <s v="1 ER REGION"/>
    <x v="4"/>
    <x v="1"/>
    <s v="PFMT016"/>
    <x v="12"/>
    <n v="25000"/>
    <n v="240.48"/>
    <n v="6012000"/>
    <n v="7154280"/>
  </r>
  <r>
    <x v="2"/>
    <s v="MDN"/>
    <x v="19"/>
    <s v="3 EME REGION"/>
    <x v="5"/>
    <x v="1"/>
    <s v="PFMT016"/>
    <x v="12"/>
    <n v="25000"/>
    <n v="240.48"/>
    <n v="6012000"/>
    <n v="7154280"/>
  </r>
  <r>
    <x v="2"/>
    <s v="CIVIL"/>
    <x v="4"/>
    <s v="EURL CODIGEC"/>
    <x v="0"/>
    <x v="1"/>
    <s v="PFCT001"/>
    <x v="4"/>
    <n v="1680"/>
    <n v="96.6386554621849"/>
    <n v="162352.94117647101"/>
    <n v="193200"/>
  </r>
  <r>
    <x v="2"/>
    <s v="B2B"/>
    <x v="4"/>
    <s v="EURL CODIGEC"/>
    <x v="0"/>
    <x v="1"/>
    <s v="PFCT002"/>
    <x v="5"/>
    <n v="1200"/>
    <n v="178.99159663865501"/>
    <n v="214789.915966386"/>
    <n v="255600"/>
  </r>
  <r>
    <x v="2"/>
    <s v="B2B"/>
    <x v="4"/>
    <s v="EURL CODIGEC"/>
    <x v="0"/>
    <x v="2"/>
    <s v="CON02"/>
    <x v="3"/>
    <n v="2"/>
    <n v="0"/>
    <n v="0"/>
    <n v="0"/>
  </r>
  <r>
    <x v="2"/>
    <s v="CIVIL"/>
    <x v="20"/>
    <s v="KHELIFI DJEMAOUI BESKRA"/>
    <x v="0"/>
    <x v="1"/>
    <s v="PFCT012"/>
    <x v="2"/>
    <n v="24000"/>
    <n v="231.09243697478999"/>
    <n v="5546218.4873949597"/>
    <n v="6600000"/>
  </r>
  <r>
    <x v="2"/>
    <s v="B2B"/>
    <x v="20"/>
    <s v="KHELIFI DJEMAOUI BESKRA"/>
    <x v="0"/>
    <x v="2"/>
    <s v="CON02"/>
    <x v="3"/>
    <n v="18"/>
    <n v="0"/>
    <n v="0"/>
    <n v="0"/>
  </r>
  <r>
    <x v="2"/>
    <s v="CIVIL"/>
    <x v="21"/>
    <s v="LAIFAOUI NOUREDDINE"/>
    <x v="0"/>
    <x v="0"/>
    <s v="PFCC004"/>
    <x v="0"/>
    <n v="1200"/>
    <n v="198.31932773109199"/>
    <n v="237983.19327731"/>
    <n v="283200"/>
  </r>
  <r>
    <x v="2"/>
    <s v="CIVIL"/>
    <x v="21"/>
    <s v="LAIFAOUI NOUREDDINE"/>
    <x v="0"/>
    <x v="1"/>
    <s v="PFCT012"/>
    <x v="2"/>
    <n v="12000"/>
    <n v="231.09243697478999"/>
    <n v="2773109.2436974798"/>
    <n v="3300000"/>
  </r>
  <r>
    <x v="2"/>
    <s v="B2B"/>
    <x v="21"/>
    <s v="LAIFAOUI NOUREDDINE"/>
    <x v="0"/>
    <x v="2"/>
    <s v="CON02"/>
    <x v="3"/>
    <n v="8"/>
    <n v="0"/>
    <n v="0"/>
    <n v="0"/>
  </r>
  <r>
    <x v="3"/>
    <s v="CIVIL"/>
    <x v="0"/>
    <s v="BENHAMIDA"/>
    <x v="0"/>
    <x v="0"/>
    <s v="PFCC004"/>
    <x v="0"/>
    <n v="7200"/>
    <n v="198.31932773109199"/>
    <n v="1427899.15966386"/>
    <n v="1699200.00000001"/>
  </r>
  <r>
    <x v="3"/>
    <s v="CIVIL"/>
    <x v="0"/>
    <s v="BENHAMIDA"/>
    <x v="0"/>
    <x v="1"/>
    <s v="PFCT012"/>
    <x v="2"/>
    <n v="15600"/>
    <n v="231.09243697478999"/>
    <n v="3605042.0168067198"/>
    <n v="4290000"/>
  </r>
  <r>
    <x v="3"/>
    <s v="B2B"/>
    <x v="0"/>
    <s v="BENHAMIDA"/>
    <x v="0"/>
    <x v="2"/>
    <s v="CON02"/>
    <x v="3"/>
    <n v="16"/>
    <n v="0"/>
    <n v="0"/>
    <n v="0"/>
  </r>
  <r>
    <x v="3"/>
    <s v="B2B"/>
    <x v="0"/>
    <s v="BENHAMIDA"/>
    <x v="0"/>
    <x v="0"/>
    <s v="PFCC017"/>
    <x v="6"/>
    <n v="2400"/>
    <n v="120.168067226891"/>
    <n v="288403.36134453799"/>
    <n v="343200"/>
  </r>
  <r>
    <x v="3"/>
    <s v="CIVIL"/>
    <x v="0"/>
    <s v="BENHAMIDA"/>
    <x v="0"/>
    <x v="0"/>
    <s v="PFCC018"/>
    <x v="8"/>
    <n v="2400"/>
    <n v="89.915966386554601"/>
    <n v="215798.31932773101"/>
    <n v="256800"/>
  </r>
  <r>
    <x v="3"/>
    <s v="CIVIL"/>
    <x v="22"/>
    <s v="EURL NOOR DISTRIBUTION"/>
    <x v="0"/>
    <x v="1"/>
    <s v="PFCT012"/>
    <x v="2"/>
    <n v="16800"/>
    <n v="231.09243697478999"/>
    <n v="3882352.9411764699"/>
    <n v="4620000"/>
  </r>
  <r>
    <x v="3"/>
    <s v="CIVIL"/>
    <x v="22"/>
    <s v="EURL NOOR DISTRIBUTION"/>
    <x v="0"/>
    <x v="3"/>
    <s v="PFCH014"/>
    <x v="9"/>
    <n v="4800"/>
    <n v="214.28571428571399"/>
    <n v="1028571.42857143"/>
    <n v="1224000"/>
  </r>
  <r>
    <x v="3"/>
    <s v="B2B"/>
    <x v="22"/>
    <s v="EURL NOOR DISTRIBUTION"/>
    <x v="0"/>
    <x v="2"/>
    <s v="CON02"/>
    <x v="3"/>
    <n v="18"/>
    <n v="0"/>
    <n v="0"/>
    <n v="0"/>
  </r>
  <r>
    <x v="3"/>
    <s v="B2B"/>
    <x v="22"/>
    <s v="EURL NOOR DISTRIBUTION"/>
    <x v="0"/>
    <x v="0"/>
    <s v="PFCC022"/>
    <x v="11"/>
    <n v="4800"/>
    <n v="109.243697478992"/>
    <n v="524369.747899162"/>
    <n v="624000"/>
  </r>
  <r>
    <x v="3"/>
    <s v="CIVIL"/>
    <x v="8"/>
    <s v="SARL IDEAL GOLD"/>
    <x v="0"/>
    <x v="1"/>
    <s v="PFCT012"/>
    <x v="2"/>
    <n v="21600"/>
    <n v="231.09243697478999"/>
    <n v="4991596.6386554604"/>
    <n v="5940000"/>
  </r>
  <r>
    <x v="3"/>
    <s v="B2B"/>
    <x v="8"/>
    <s v="SARL IDEAL GOLD"/>
    <x v="0"/>
    <x v="2"/>
    <s v="CON02"/>
    <x v="3"/>
    <n v="18"/>
    <n v="0"/>
    <n v="0"/>
    <n v="0"/>
  </r>
  <r>
    <x v="3"/>
    <s v="B2B"/>
    <x v="8"/>
    <s v="SARL IDEAL GOLD"/>
    <x v="0"/>
    <x v="0"/>
    <s v="PFCC022"/>
    <x v="11"/>
    <n v="4800"/>
    <n v="109.243697478992"/>
    <n v="524369.747899162"/>
    <n v="624000"/>
  </r>
  <r>
    <x v="4"/>
    <s v="CIVIL"/>
    <x v="10"/>
    <s v="SARL KHALI FOOD DISTRIBUTION ET VALUATION"/>
    <x v="0"/>
    <x v="1"/>
    <s v="PFCT011"/>
    <x v="1"/>
    <n v="24000"/>
    <n v="126.05042016806701"/>
    <n v="3025210.0840336098"/>
    <n v="3600000"/>
  </r>
  <r>
    <x v="4"/>
    <s v="B2B"/>
    <x v="10"/>
    <s v="SARL KHALI FOOD DISTRIBUTION ET VALUATION"/>
    <x v="0"/>
    <x v="2"/>
    <s v="CON02"/>
    <x v="3"/>
    <n v="10"/>
    <n v="0"/>
    <n v="0"/>
    <n v="0"/>
  </r>
  <r>
    <x v="4"/>
    <s v="CIVIL"/>
    <x v="23"/>
    <s v="SARL AGROLGICA"/>
    <x v="0"/>
    <x v="1"/>
    <s v="PFCT011"/>
    <x v="1"/>
    <n v="48000"/>
    <n v="126.05042016806701"/>
    <n v="6050420.1680672197"/>
    <n v="7200000"/>
  </r>
  <r>
    <x v="4"/>
    <s v="B2B"/>
    <x v="23"/>
    <s v="SARL AGROLGICA"/>
    <x v="0"/>
    <x v="2"/>
    <s v="CON02"/>
    <x v="3"/>
    <n v="18"/>
    <n v="0"/>
    <n v="0"/>
    <n v="0"/>
  </r>
  <r>
    <x v="4"/>
    <s v="MDN"/>
    <x v="18"/>
    <s v="1 ER REGION"/>
    <x v="4"/>
    <x v="1"/>
    <s v="PFMT016"/>
    <x v="12"/>
    <n v="20000"/>
    <n v="240.48"/>
    <n v="4809600"/>
    <n v="5723424"/>
  </r>
  <r>
    <x v="4"/>
    <s v="MDN"/>
    <x v="18"/>
    <s v="1 ER REGION"/>
    <x v="4"/>
    <x v="1"/>
    <s v="PFMT016"/>
    <x v="12"/>
    <n v="20000"/>
    <n v="240.48"/>
    <n v="4809600"/>
    <n v="5723424"/>
  </r>
  <r>
    <x v="4"/>
    <s v="MDN"/>
    <x v="24"/>
    <s v="6 EME REGION"/>
    <x v="6"/>
    <x v="1"/>
    <s v="PFMT016"/>
    <x v="12"/>
    <n v="20000"/>
    <n v="240.48"/>
    <n v="4809600"/>
    <n v="5723424"/>
  </r>
  <r>
    <x v="4"/>
    <s v="MDN"/>
    <x v="24"/>
    <s v="6 EME REGION"/>
    <x v="6"/>
    <x v="1"/>
    <s v="PFMT016"/>
    <x v="12"/>
    <n v="20000"/>
    <n v="240.48"/>
    <n v="4809600"/>
    <n v="5723424"/>
  </r>
  <r>
    <x v="4"/>
    <s v="CIVIL"/>
    <x v="25"/>
    <s v="KADA RABAH"/>
    <x v="0"/>
    <x v="0"/>
    <s v="PFCC004"/>
    <x v="0"/>
    <n v="3600"/>
    <n v="198.31932773109199"/>
    <n v="713949.57983193104"/>
    <n v="849600"/>
  </r>
  <r>
    <x v="4"/>
    <s v="CIVIL"/>
    <x v="25"/>
    <s v="KADA RABAH"/>
    <x v="0"/>
    <x v="1"/>
    <s v="PFCT011"/>
    <x v="1"/>
    <n v="7200"/>
    <n v="126.05042016806701"/>
    <n v="907563.02521008195"/>
    <n v="1080000"/>
  </r>
  <r>
    <x v="4"/>
    <s v="CIVIL"/>
    <x v="25"/>
    <s v="KADA RABAH"/>
    <x v="0"/>
    <x v="1"/>
    <s v="PFCT012"/>
    <x v="2"/>
    <n v="4800"/>
    <n v="231.09243697478999"/>
    <n v="1109243.6974789901"/>
    <n v="1320000"/>
  </r>
  <r>
    <x v="4"/>
    <s v="B2B"/>
    <x v="25"/>
    <s v="KADA RABAH"/>
    <x v="0"/>
    <x v="2"/>
    <s v="CON02"/>
    <x v="3"/>
    <n v="8"/>
    <n v="0"/>
    <n v="0"/>
    <n v="0"/>
  </r>
  <r>
    <x v="4"/>
    <s v="CIVIL"/>
    <x v="25"/>
    <s v="KADA RABAH"/>
    <x v="0"/>
    <x v="0"/>
    <s v="PFCC018"/>
    <x v="8"/>
    <n v="2400"/>
    <n v="89.915966386554601"/>
    <n v="215798.31932773101"/>
    <n v="256800"/>
  </r>
  <r>
    <x v="4"/>
    <s v="CIVIL"/>
    <x v="26"/>
    <s v="DOUAFI MOHAMMED"/>
    <x v="0"/>
    <x v="1"/>
    <s v="PFCT011"/>
    <x v="1"/>
    <n v="12000"/>
    <n v="126.05042016806701"/>
    <n v="1512605.0420168"/>
    <n v="1800000"/>
  </r>
  <r>
    <x v="4"/>
    <s v="CIVIL"/>
    <x v="26"/>
    <s v="DOUAFI MOHAMMED"/>
    <x v="0"/>
    <x v="1"/>
    <s v="PFCT012"/>
    <x v="2"/>
    <n v="3600"/>
    <n v="231.09243697478999"/>
    <n v="831932.77310924395"/>
    <n v="990000"/>
  </r>
  <r>
    <x v="4"/>
    <s v="B2B"/>
    <x v="26"/>
    <s v="DOUAFI MOHAMMED"/>
    <x v="0"/>
    <x v="2"/>
    <s v="CON02"/>
    <x v="3"/>
    <n v="8"/>
    <n v="0"/>
    <n v="0"/>
    <n v="0"/>
  </r>
  <r>
    <x v="4"/>
    <s v="B2B"/>
    <x v="26"/>
    <s v="DOUAFI MOHAMMED"/>
    <x v="0"/>
    <x v="0"/>
    <s v="PFCC017"/>
    <x v="6"/>
    <n v="4800"/>
    <n v="120.168067226891"/>
    <n v="576806.72268907703"/>
    <n v="686400.00000001001"/>
  </r>
  <r>
    <x v="4"/>
    <s v="CIVIL"/>
    <x v="27"/>
    <s v="SARL COMUNIVERS"/>
    <x v="0"/>
    <x v="0"/>
    <s v="PFCC004"/>
    <x v="0"/>
    <n v="4800"/>
    <n v="198.31932773109199"/>
    <n v="951932.77310924197"/>
    <n v="1132800"/>
  </r>
  <r>
    <x v="4"/>
    <s v="CIVIL"/>
    <x v="27"/>
    <s v="SARL COMUNIVERS"/>
    <x v="0"/>
    <x v="1"/>
    <s v="PFCT011"/>
    <x v="1"/>
    <n v="38400"/>
    <n v="126.05042016806701"/>
    <n v="4840336.1344537698"/>
    <n v="5760000"/>
  </r>
  <r>
    <x v="4"/>
    <s v="B2B"/>
    <x v="27"/>
    <s v="SARL COMUNIVERS"/>
    <x v="0"/>
    <x v="2"/>
    <s v="CON02"/>
    <x v="3"/>
    <n v="18"/>
    <n v="0"/>
    <n v="0"/>
    <n v="0"/>
  </r>
  <r>
    <x v="4"/>
    <s v="B2B"/>
    <x v="27"/>
    <s v="SARL COMUNIVERS"/>
    <x v="0"/>
    <x v="0"/>
    <s v="PFCC017"/>
    <x v="6"/>
    <n v="2400"/>
    <n v="120.168067226891"/>
    <n v="288403.36134453799"/>
    <n v="343200"/>
  </r>
  <r>
    <x v="4"/>
    <s v="CIVIL"/>
    <x v="27"/>
    <s v="SARL COMUNIVERS"/>
    <x v="0"/>
    <x v="0"/>
    <s v="PFCC018"/>
    <x v="8"/>
    <n v="2400"/>
    <n v="89.915966386554601"/>
    <n v="215798.31932773101"/>
    <n v="256800"/>
  </r>
  <r>
    <x v="4"/>
    <s v="CIVIL"/>
    <x v="6"/>
    <s v="EURL BAALI LI TIDJARA WA SINAA"/>
    <x v="0"/>
    <x v="1"/>
    <s v="PFCT012"/>
    <x v="2"/>
    <n v="24000"/>
    <n v="231.09243697478999"/>
    <n v="5546218.4873949597"/>
    <n v="6600000"/>
  </r>
  <r>
    <x v="4"/>
    <s v="B2B"/>
    <x v="6"/>
    <s v="EURL BAALI LI TIDJARA WA SINAA"/>
    <x v="0"/>
    <x v="2"/>
    <s v="CON02"/>
    <x v="3"/>
    <n v="16"/>
    <n v="0"/>
    <n v="0"/>
    <n v="0"/>
  </r>
  <r>
    <x v="4"/>
    <s v="CIVIL"/>
    <x v="13"/>
    <s v="SAOUD MOHAMED"/>
    <x v="0"/>
    <x v="1"/>
    <s v="PFCT012"/>
    <x v="2"/>
    <n v="12000"/>
    <n v="231.09243697478999"/>
    <n v="2773109.2436974798"/>
    <n v="3300000"/>
  </r>
  <r>
    <x v="4"/>
    <s v="B2B"/>
    <x v="13"/>
    <s v="SAOUD MOHAMED"/>
    <x v="0"/>
    <x v="2"/>
    <s v="CON02"/>
    <x v="3"/>
    <n v="8"/>
    <n v="0"/>
    <n v="0"/>
    <n v="0"/>
  </r>
  <r>
    <x v="4"/>
    <s v="CIVIL"/>
    <x v="28"/>
    <s v="EURL AYA FOOD"/>
    <x v="0"/>
    <x v="0"/>
    <s v="PFCC004"/>
    <x v="0"/>
    <n v="1200"/>
    <n v="198.31932773109199"/>
    <n v="237983.19327731"/>
    <n v="283200"/>
  </r>
  <r>
    <x v="4"/>
    <s v="CIVIL"/>
    <x v="28"/>
    <s v="EURL AYA FOOD"/>
    <x v="0"/>
    <x v="1"/>
    <s v="PFCT011"/>
    <x v="1"/>
    <n v="4800"/>
    <n v="126.05042016806701"/>
    <n v="605042.01680672204"/>
    <n v="720000"/>
  </r>
  <r>
    <x v="4"/>
    <s v="CIVIL"/>
    <x v="28"/>
    <s v="EURL AYA FOOD"/>
    <x v="0"/>
    <x v="1"/>
    <s v="PFCT012"/>
    <x v="2"/>
    <n v="19200"/>
    <n v="231.09243697478999"/>
    <n v="4436974.7899159696"/>
    <n v="5280000"/>
  </r>
  <r>
    <x v="4"/>
    <s v="B2B"/>
    <x v="28"/>
    <s v="EURL AYA FOOD"/>
    <x v="0"/>
    <x v="2"/>
    <s v="CON02"/>
    <x v="3"/>
    <n v="18"/>
    <n v="0"/>
    <n v="0"/>
    <n v="0"/>
  </r>
  <r>
    <x v="4"/>
    <s v="B2B"/>
    <x v="28"/>
    <s v="EURL AYA FOOD"/>
    <x v="0"/>
    <x v="0"/>
    <s v="PFCC022"/>
    <x v="11"/>
    <n v="2400"/>
    <n v="109.243697478992"/>
    <n v="262184.873949581"/>
    <n v="312000"/>
  </r>
  <r>
    <x v="5"/>
    <s v="MDN"/>
    <x v="29"/>
    <s v="MDN"/>
    <x v="1"/>
    <x v="1"/>
    <s v="PFMT016"/>
    <x v="12"/>
    <n v="10000"/>
    <n v="240.48"/>
    <n v="2404800"/>
    <n v="2861712"/>
  </r>
  <r>
    <x v="5"/>
    <s v="MDN"/>
    <x v="29"/>
    <s v="MDN"/>
    <x v="1"/>
    <x v="1"/>
    <s v="PFMT016"/>
    <x v="12"/>
    <n v="10000"/>
    <n v="240.48"/>
    <n v="2404800"/>
    <n v="2861712"/>
  </r>
  <r>
    <x v="5"/>
    <s v="MDN"/>
    <x v="30"/>
    <s v="5 EME REGION"/>
    <x v="1"/>
    <x v="1"/>
    <s v="PFMT016"/>
    <x v="12"/>
    <n v="10000"/>
    <n v="240.48"/>
    <n v="2404800"/>
    <n v="2861712"/>
  </r>
  <r>
    <x v="5"/>
    <s v="MDN"/>
    <x v="30"/>
    <s v="5 EME REGION"/>
    <x v="1"/>
    <x v="1"/>
    <s v="PFMT016"/>
    <x v="12"/>
    <n v="10000"/>
    <n v="240.48"/>
    <n v="2404800"/>
    <n v="2861712"/>
  </r>
  <r>
    <x v="5"/>
    <s v="MDN"/>
    <x v="15"/>
    <s v="5 EME REGION"/>
    <x v="1"/>
    <x v="1"/>
    <s v="PFMT016"/>
    <x v="12"/>
    <n v="15000"/>
    <n v="240.48"/>
    <n v="3607200"/>
    <n v="4292568"/>
  </r>
  <r>
    <x v="5"/>
    <s v="MDN"/>
    <x v="15"/>
    <s v="5 EME REGION"/>
    <x v="1"/>
    <x v="1"/>
    <s v="PFMT016"/>
    <x v="12"/>
    <n v="5000"/>
    <n v="240.48"/>
    <n v="1202400"/>
    <n v="1430856"/>
  </r>
  <r>
    <x v="5"/>
    <s v="CIVIL"/>
    <x v="23"/>
    <s v="SARL AGROLGICA"/>
    <x v="0"/>
    <x v="1"/>
    <s v="PFCT011"/>
    <x v="1"/>
    <n v="48000"/>
    <n v="126.05042016806701"/>
    <n v="6050420.1680672197"/>
    <n v="7200000"/>
  </r>
  <r>
    <x v="5"/>
    <s v="B2B"/>
    <x v="23"/>
    <s v="SARL AGROLGICA"/>
    <x v="0"/>
    <x v="2"/>
    <s v="CON02"/>
    <x v="3"/>
    <n v="16"/>
    <n v="0"/>
    <n v="0"/>
    <n v="0"/>
  </r>
  <r>
    <x v="5"/>
    <s v="CIVIL"/>
    <x v="0"/>
    <s v="BENHAMIDA"/>
    <x v="0"/>
    <x v="1"/>
    <s v="PFCT011"/>
    <x v="1"/>
    <n v="52800"/>
    <n v="126.05042016806701"/>
    <n v="6655462.1848739404"/>
    <n v="7920000"/>
  </r>
  <r>
    <x v="5"/>
    <s v="B2B"/>
    <x v="0"/>
    <s v="BENHAMIDA"/>
    <x v="0"/>
    <x v="2"/>
    <s v="CON02"/>
    <x v="3"/>
    <n v="18"/>
    <n v="0"/>
    <n v="0"/>
    <n v="0"/>
  </r>
  <r>
    <x v="5"/>
    <s v="MDN"/>
    <x v="31"/>
    <s v="MDN"/>
    <x v="1"/>
    <x v="1"/>
    <s v="PFMT016"/>
    <x v="12"/>
    <n v="20000"/>
    <n v="240.48"/>
    <n v="4809600"/>
    <n v="5723424"/>
  </r>
  <r>
    <x v="5"/>
    <s v="CIVIL"/>
    <x v="6"/>
    <s v="EURL BAALI LI TIDJARA WA SINAA"/>
    <x v="0"/>
    <x v="1"/>
    <s v="PFCT012"/>
    <x v="2"/>
    <n v="24000"/>
    <n v="231.09243697478999"/>
    <n v="5546218.4873949597"/>
    <n v="6600000"/>
  </r>
  <r>
    <x v="5"/>
    <s v="CIVIL"/>
    <x v="6"/>
    <s v="EURL BAALI LI TIDJARA WA SINAA"/>
    <x v="0"/>
    <x v="1"/>
    <s v="PFCT012"/>
    <x v="2"/>
    <n v="24000"/>
    <n v="231.09243697478999"/>
    <n v="5546218.4873949597"/>
    <n v="6600000"/>
  </r>
  <r>
    <x v="5"/>
    <s v="B2B"/>
    <x v="6"/>
    <s v="EURL BAALI LI TIDJARA WA SINAA"/>
    <x v="0"/>
    <x v="2"/>
    <s v="CON02"/>
    <x v="3"/>
    <n v="18"/>
    <n v="0"/>
    <n v="0"/>
    <n v="0"/>
  </r>
  <r>
    <x v="5"/>
    <s v="B2B"/>
    <x v="6"/>
    <s v="EURL BAALI LI TIDJARA WA SINAA"/>
    <x v="0"/>
    <x v="2"/>
    <s v="CON02"/>
    <x v="3"/>
    <n v="18"/>
    <n v="0"/>
    <n v="0"/>
    <n v="0"/>
  </r>
  <r>
    <x v="5"/>
    <s v="CIVIL"/>
    <x v="28"/>
    <s v="EURL AYA FOOD"/>
    <x v="0"/>
    <x v="0"/>
    <s v="PFCC004"/>
    <x v="0"/>
    <n v="1200"/>
    <n v="198.31932773109199"/>
    <n v="237983.19327731"/>
    <n v="283200"/>
  </r>
  <r>
    <x v="5"/>
    <s v="CIVIL"/>
    <x v="28"/>
    <s v="EURL AYA FOOD"/>
    <x v="0"/>
    <x v="1"/>
    <s v="PFCT011"/>
    <x v="1"/>
    <n v="4800"/>
    <n v="126.05042016806701"/>
    <n v="605042.01680672204"/>
    <n v="720000"/>
  </r>
  <r>
    <x v="5"/>
    <s v="CIVIL"/>
    <x v="28"/>
    <s v="EURL AYA FOOD"/>
    <x v="0"/>
    <x v="1"/>
    <s v="PFCT012"/>
    <x v="2"/>
    <n v="18000"/>
    <n v="231.09243697478999"/>
    <n v="4159663.86554622"/>
    <n v="4950000"/>
  </r>
  <r>
    <x v="5"/>
    <s v="CIVIL"/>
    <x v="28"/>
    <s v="EURL AYA FOOD"/>
    <x v="0"/>
    <x v="3"/>
    <s v="PFCH015"/>
    <x v="10"/>
    <n v="2400"/>
    <n v="117.64705882352899"/>
    <n v="282352.94117647002"/>
    <n v="336000"/>
  </r>
  <r>
    <x v="5"/>
    <s v="B2B"/>
    <x v="28"/>
    <s v="EURL AYA FOOD"/>
    <x v="0"/>
    <x v="2"/>
    <s v="CON02"/>
    <x v="3"/>
    <n v="18"/>
    <n v="0"/>
    <n v="0"/>
    <n v="0"/>
  </r>
  <r>
    <x v="5"/>
    <s v="B2B"/>
    <x v="28"/>
    <s v="EURL AYA FOOD"/>
    <x v="0"/>
    <x v="0"/>
    <s v="PFCC022"/>
    <x v="11"/>
    <n v="2400"/>
    <n v="109.243697478992"/>
    <n v="262184.873949581"/>
    <n v="312000"/>
  </r>
  <r>
    <x v="6"/>
    <s v="B2B"/>
    <x v="32"/>
    <s v="SARL CPC CONSERVERIE"/>
    <x v="2"/>
    <x v="2"/>
    <s v="CON01"/>
    <x v="13"/>
    <n v="16"/>
    <n v="2500"/>
    <n v="40000"/>
    <n v="40000"/>
  </r>
  <r>
    <x v="6"/>
    <s v="B2B"/>
    <x v="32"/>
    <s v="SARL CPC CONSERVERIE"/>
    <x v="2"/>
    <x v="1"/>
    <s v="PSFK028-2024"/>
    <x v="15"/>
    <n v="3808"/>
    <n v="258"/>
    <n v="982464"/>
    <n v="1169132.1599999999"/>
  </r>
  <r>
    <x v="6"/>
    <s v="CIVIL"/>
    <x v="33"/>
    <s v="TOUALI LAALA"/>
    <x v="0"/>
    <x v="0"/>
    <s v="PFCC004"/>
    <x v="0"/>
    <n v="2400"/>
    <n v="198.31932773109199"/>
    <n v="475966.38655462099"/>
    <n v="566400"/>
  </r>
  <r>
    <x v="6"/>
    <s v="CIVIL"/>
    <x v="33"/>
    <s v="TOUALI LAALA"/>
    <x v="0"/>
    <x v="1"/>
    <s v="PFCT012"/>
    <x v="2"/>
    <n v="19200"/>
    <n v="231.09243697478999"/>
    <n v="4436974.7899159696"/>
    <n v="5280000"/>
  </r>
  <r>
    <x v="6"/>
    <s v="CIVIL"/>
    <x v="33"/>
    <s v="TOUALI LAALA"/>
    <x v="0"/>
    <x v="3"/>
    <s v="PFCH014"/>
    <x v="9"/>
    <n v="2400"/>
    <n v="214.28571428571399"/>
    <n v="514285.71428571403"/>
    <n v="611999.99999998999"/>
  </r>
  <r>
    <x v="6"/>
    <s v="B2B"/>
    <x v="33"/>
    <s v="TOUALI LAALA"/>
    <x v="0"/>
    <x v="2"/>
    <s v="CON02"/>
    <x v="3"/>
    <n v="18"/>
    <n v="0"/>
    <n v="0"/>
    <n v="0"/>
  </r>
  <r>
    <x v="6"/>
    <s v="MDN"/>
    <x v="34"/>
    <s v="1 ER REGION"/>
    <x v="4"/>
    <x v="1"/>
    <s v="PFMT016"/>
    <x v="12"/>
    <n v="20000"/>
    <n v="240.48"/>
    <n v="4809600"/>
    <n v="5723424"/>
  </r>
  <r>
    <x v="6"/>
    <s v="CIVIL"/>
    <x v="13"/>
    <s v="SAOUD MOHAMED"/>
    <x v="0"/>
    <x v="1"/>
    <s v="PFCT011"/>
    <x v="1"/>
    <n v="24000"/>
    <n v="126.05042016806701"/>
    <n v="3025210.0840336098"/>
    <n v="3600000"/>
  </r>
  <r>
    <x v="6"/>
    <s v="CIVIL"/>
    <x v="13"/>
    <s v="SAOUD MOHAMED"/>
    <x v="0"/>
    <x v="1"/>
    <s v="PFCT011"/>
    <x v="1"/>
    <n v="24000"/>
    <n v="126.05042016806701"/>
    <n v="3025210.0840336098"/>
    <n v="3600000"/>
  </r>
  <r>
    <x v="6"/>
    <s v="B2B"/>
    <x v="13"/>
    <s v="SAOUD MOHAMED"/>
    <x v="0"/>
    <x v="2"/>
    <s v="CON02"/>
    <x v="3"/>
    <n v="8"/>
    <n v="0"/>
    <n v="0"/>
    <n v="0"/>
  </r>
  <r>
    <x v="6"/>
    <s v="B2B"/>
    <x v="13"/>
    <s v="SAOUD MOHAMED"/>
    <x v="0"/>
    <x v="2"/>
    <s v="CON02"/>
    <x v="3"/>
    <n v="8"/>
    <n v="0"/>
    <n v="0"/>
    <n v="0"/>
  </r>
  <r>
    <x v="6"/>
    <s v="CIVIL"/>
    <x v="35"/>
    <s v="KHELIFI YAHIA"/>
    <x v="0"/>
    <x v="1"/>
    <s v="PFCT011"/>
    <x v="1"/>
    <n v="38400"/>
    <n v="126.05042016806701"/>
    <n v="4840336.1344537698"/>
    <n v="5760000"/>
  </r>
  <r>
    <x v="6"/>
    <s v="CIVIL"/>
    <x v="35"/>
    <s v="KHELIFI YAHIA"/>
    <x v="0"/>
    <x v="1"/>
    <s v="PFCT012"/>
    <x v="2"/>
    <n v="1200"/>
    <n v="231.09243697478999"/>
    <n v="277310.92436974798"/>
    <n v="330000"/>
  </r>
  <r>
    <x v="6"/>
    <s v="CIVIL"/>
    <x v="35"/>
    <s v="KHELIFI YAHIA"/>
    <x v="0"/>
    <x v="3"/>
    <s v="PFCH014"/>
    <x v="9"/>
    <n v="1200"/>
    <n v="214.28571428571399"/>
    <n v="257142.85714285701"/>
    <n v="306000"/>
  </r>
  <r>
    <x v="6"/>
    <s v="B2B"/>
    <x v="35"/>
    <s v="KHELIFI YAHIA"/>
    <x v="0"/>
    <x v="2"/>
    <s v="CON02"/>
    <x v="3"/>
    <n v="18"/>
    <n v="0"/>
    <n v="0"/>
    <n v="0"/>
  </r>
  <r>
    <x v="6"/>
    <s v="B2B"/>
    <x v="35"/>
    <s v="KHELIFI YAHIA"/>
    <x v="0"/>
    <x v="0"/>
    <s v="PFCC017"/>
    <x v="6"/>
    <n v="2400"/>
    <n v="120.168067226891"/>
    <n v="288403.36134453799"/>
    <n v="343200"/>
  </r>
  <r>
    <x v="6"/>
    <s v="CIVIL"/>
    <x v="35"/>
    <s v="KHELIFI YAHIA"/>
    <x v="0"/>
    <x v="0"/>
    <s v="PFCC018"/>
    <x v="8"/>
    <n v="2400"/>
    <n v="89.915966386554601"/>
    <n v="215798.31932773101"/>
    <n v="256800"/>
  </r>
  <r>
    <x v="6"/>
    <s v="CIVIL"/>
    <x v="8"/>
    <s v="SARL IDEAL GOLD"/>
    <x v="0"/>
    <x v="0"/>
    <s v="PFCC004"/>
    <x v="0"/>
    <n v="2400"/>
    <n v="198.31932773109199"/>
    <n v="475966.38655462099"/>
    <n v="566400"/>
  </r>
  <r>
    <x v="6"/>
    <s v="CIVIL"/>
    <x v="8"/>
    <s v="SARL IDEAL GOLD"/>
    <x v="0"/>
    <x v="1"/>
    <s v="PFCT012"/>
    <x v="2"/>
    <n v="21600"/>
    <n v="231.09243697478999"/>
    <n v="4991596.6386554604"/>
    <n v="5940000"/>
  </r>
  <r>
    <x v="6"/>
    <s v="B2B"/>
    <x v="8"/>
    <s v="SARL IDEAL GOLD"/>
    <x v="0"/>
    <x v="2"/>
    <s v="CON02"/>
    <x v="3"/>
    <n v="16"/>
    <n v="0"/>
    <n v="0"/>
    <n v="0"/>
  </r>
  <r>
    <x v="6"/>
    <s v="CIVIL"/>
    <x v="36"/>
    <s v="KHELIFI DJEMOUI GUELMA"/>
    <x v="0"/>
    <x v="1"/>
    <s v="PFCT011"/>
    <x v="1"/>
    <n v="28800"/>
    <n v="126.05042016806701"/>
    <n v="3630252.1008403301"/>
    <n v="4320000"/>
  </r>
  <r>
    <x v="6"/>
    <s v="CIVIL"/>
    <x v="36"/>
    <s v="KHELIFI DJEMOUI GUELMA"/>
    <x v="0"/>
    <x v="1"/>
    <s v="PFCT012"/>
    <x v="2"/>
    <n v="7200"/>
    <n v="231.09243697478999"/>
    <n v="1663865.54621849"/>
    <n v="1980000"/>
  </r>
  <r>
    <x v="6"/>
    <s v="CIVIL"/>
    <x v="36"/>
    <s v="KHELIFI DJEMOUI GUELMA"/>
    <x v="0"/>
    <x v="3"/>
    <s v="PFCH014"/>
    <x v="9"/>
    <n v="2400"/>
    <n v="214.28571428571399"/>
    <n v="514285.71428571403"/>
    <n v="611999.99999998999"/>
  </r>
  <r>
    <x v="6"/>
    <s v="B2B"/>
    <x v="36"/>
    <s v="KHELIFI DJEMOUI GUELMA"/>
    <x v="0"/>
    <x v="2"/>
    <s v="CON02"/>
    <x v="3"/>
    <n v="18"/>
    <n v="0"/>
    <n v="0"/>
    <n v="0"/>
  </r>
  <r>
    <x v="6"/>
    <s v="B2B"/>
    <x v="37"/>
    <s v="EURL SEEDS TO FEEDS"/>
    <x v="2"/>
    <x v="2"/>
    <s v="CON01"/>
    <x v="13"/>
    <n v="1"/>
    <n v="2500"/>
    <n v="2500"/>
    <n v="2500"/>
  </r>
  <r>
    <x v="6"/>
    <s v="B2B"/>
    <x v="37"/>
    <s v="EURL SEEDS TO FEEDS"/>
    <x v="2"/>
    <x v="1"/>
    <s v="PSFK027-2024"/>
    <x v="16"/>
    <n v="230"/>
    <n v="217"/>
    <n v="49910"/>
    <n v="59392.9"/>
  </r>
  <r>
    <x v="7"/>
    <s v="MDN"/>
    <x v="38"/>
    <s v="1 ER REGION"/>
    <x v="4"/>
    <x v="1"/>
    <s v="PFMT016"/>
    <x v="12"/>
    <n v="20000"/>
    <n v="240.48"/>
    <n v="4809600"/>
    <n v="5723424"/>
  </r>
  <r>
    <x v="7"/>
    <s v="B2B"/>
    <x v="39"/>
    <s v="SARL LIMONADERIE DE LA SOUMAM"/>
    <x v="2"/>
    <x v="2"/>
    <s v="CON01"/>
    <x v="13"/>
    <n v="80"/>
    <n v="2500"/>
    <n v="200000"/>
    <n v="200000"/>
  </r>
  <r>
    <x v="7"/>
    <s v="B2B"/>
    <x v="39"/>
    <s v="SARL LIMONADERIE DE LA SOUMAM"/>
    <x v="2"/>
    <x v="2"/>
    <s v="PSFK017-2024"/>
    <x v="17"/>
    <n v="16800"/>
    <n v="88"/>
    <n v="1478400"/>
    <n v="1759296"/>
  </r>
  <r>
    <x v="7"/>
    <s v="MDN"/>
    <x v="17"/>
    <s v="2 EM REGION"/>
    <x v="3"/>
    <x v="1"/>
    <s v="PFMT016"/>
    <x v="12"/>
    <n v="20000"/>
    <n v="240.48"/>
    <n v="4809600"/>
    <n v="5723424"/>
  </r>
  <r>
    <x v="7"/>
    <s v="MDN"/>
    <x v="18"/>
    <s v="1 ER REGION"/>
    <x v="4"/>
    <x v="1"/>
    <s v="PFMT016"/>
    <x v="12"/>
    <n v="20000"/>
    <n v="240.48"/>
    <n v="4809600"/>
    <n v="5723424"/>
  </r>
  <r>
    <x v="7"/>
    <s v="MDN"/>
    <x v="18"/>
    <s v="1 ER REGION"/>
    <x v="4"/>
    <x v="1"/>
    <s v="PFMT016"/>
    <x v="12"/>
    <n v="25000"/>
    <n v="240.48"/>
    <n v="6012000"/>
    <n v="7154280"/>
  </r>
  <r>
    <x v="7"/>
    <s v="MDN"/>
    <x v="40"/>
    <s v="2 EME REGION"/>
    <x v="3"/>
    <x v="1"/>
    <s v="PFMT016"/>
    <x v="12"/>
    <n v="20000"/>
    <n v="240.48"/>
    <n v="4809600"/>
    <n v="5723424"/>
  </r>
  <r>
    <x v="7"/>
    <s v="CIVIL"/>
    <x v="13"/>
    <s v="SAOUD MOHAMED"/>
    <x v="0"/>
    <x v="1"/>
    <s v="PFCT012"/>
    <x v="2"/>
    <n v="12000"/>
    <n v="231.09243697478999"/>
    <n v="2773109.2436974798"/>
    <n v="3300000"/>
  </r>
  <r>
    <x v="7"/>
    <s v="B2B"/>
    <x v="13"/>
    <s v="SAOUD MOHAMED"/>
    <x v="0"/>
    <x v="2"/>
    <s v="CON02"/>
    <x v="3"/>
    <n v="8"/>
    <n v="0"/>
    <n v="0"/>
    <n v="0"/>
  </r>
  <r>
    <x v="7"/>
    <s v="CIVIL"/>
    <x v="21"/>
    <s v="LAIFAOUI NOUREDDINE"/>
    <x v="0"/>
    <x v="1"/>
    <s v="PFCT012"/>
    <x v="2"/>
    <n v="12000"/>
    <n v="231.09243697478999"/>
    <n v="2773109.2436974798"/>
    <n v="3300000"/>
  </r>
  <r>
    <x v="7"/>
    <s v="B2B"/>
    <x v="21"/>
    <s v="LAIFAOUI NOUREDDINE"/>
    <x v="0"/>
    <x v="2"/>
    <s v="CON02"/>
    <x v="3"/>
    <n v="8"/>
    <n v="0"/>
    <n v="0"/>
    <n v="0"/>
  </r>
  <r>
    <x v="8"/>
    <s v="MDN"/>
    <x v="41"/>
    <s v="4 EME REGION"/>
    <x v="7"/>
    <x v="1"/>
    <s v="PFMT016"/>
    <x v="12"/>
    <n v="20000"/>
    <n v="240.48"/>
    <n v="4809600"/>
    <n v="5723424"/>
  </r>
  <r>
    <x v="8"/>
    <s v="CIVIL"/>
    <x v="10"/>
    <s v="SARL KHALI FOOD DISTRIBUTION ET VALUATION"/>
    <x v="0"/>
    <x v="1"/>
    <s v="PFCT001"/>
    <x v="4"/>
    <n v="300"/>
    <n v="96.6386554621849"/>
    <n v="0"/>
    <n v="0"/>
  </r>
  <r>
    <x v="8"/>
    <s v="CIVIL"/>
    <x v="10"/>
    <s v="SARL KHALI FOOD DISTRIBUTION ET VALUATION"/>
    <x v="0"/>
    <x v="1"/>
    <s v="PFCT001"/>
    <x v="4"/>
    <n v="6900"/>
    <n v="96.6386554621849"/>
    <n v="666806.72268907598"/>
    <n v="793500.00000001001"/>
  </r>
  <r>
    <x v="8"/>
    <s v="B2B"/>
    <x v="10"/>
    <s v="SARL KHALI FOOD DISTRIBUTION ET VALUATION"/>
    <x v="0"/>
    <x v="1"/>
    <s v="PFCT002"/>
    <x v="5"/>
    <n v="200"/>
    <n v="178.99159663865501"/>
    <n v="0"/>
    <n v="0"/>
  </r>
  <r>
    <x v="8"/>
    <s v="B2B"/>
    <x v="10"/>
    <s v="SARL KHALI FOOD DISTRIBUTION ET VALUATION"/>
    <x v="0"/>
    <x v="1"/>
    <s v="PFCT002"/>
    <x v="5"/>
    <n v="4600"/>
    <n v="178.99159663865501"/>
    <n v="823361.34453781298"/>
    <n v="979800.00000001001"/>
  </r>
  <r>
    <x v="8"/>
    <s v="CIVIL"/>
    <x v="10"/>
    <s v="SARL KHALI FOOD DISTRIBUTION ET VALUATION"/>
    <x v="0"/>
    <x v="0"/>
    <s v="PFCC004"/>
    <x v="0"/>
    <n v="2400"/>
    <n v="198.31932773109199"/>
    <n v="475966.38655462099"/>
    <n v="566400"/>
  </r>
  <r>
    <x v="8"/>
    <s v="CIVIL"/>
    <x v="10"/>
    <s v="SARL KHALI FOOD DISTRIBUTION ET VALUATION"/>
    <x v="0"/>
    <x v="3"/>
    <s v="PFCH014"/>
    <x v="9"/>
    <n v="1200"/>
    <n v="214.28571428571399"/>
    <n v="257142.85714285701"/>
    <n v="306000"/>
  </r>
  <r>
    <x v="8"/>
    <s v="B2B"/>
    <x v="10"/>
    <s v="SARL KHALI FOOD DISTRIBUTION ET VALUATION"/>
    <x v="0"/>
    <x v="2"/>
    <s v="CON02"/>
    <x v="3"/>
    <n v="8"/>
    <n v="0"/>
    <n v="0"/>
    <n v="0"/>
  </r>
  <r>
    <x v="8"/>
    <s v="MDN"/>
    <x v="19"/>
    <s v="3 EME REGION"/>
    <x v="5"/>
    <x v="1"/>
    <s v="PFMT016"/>
    <x v="12"/>
    <n v="20000"/>
    <n v="240.48"/>
    <n v="4809600"/>
    <n v="5723424"/>
  </r>
  <r>
    <x v="8"/>
    <s v="CIVIL"/>
    <x v="2"/>
    <s v="EURL DJEDIDEN FOOD"/>
    <x v="0"/>
    <x v="1"/>
    <s v="PFCT001"/>
    <x v="4"/>
    <n v="1500"/>
    <n v="96.6386554621849"/>
    <n v="0"/>
    <n v="0"/>
  </r>
  <r>
    <x v="8"/>
    <s v="CIVIL"/>
    <x v="2"/>
    <s v="EURL DJEDIDEN FOOD"/>
    <x v="0"/>
    <x v="1"/>
    <s v="PFCT001"/>
    <x v="4"/>
    <n v="34500"/>
    <n v="96.6386554621849"/>
    <n v="3334033.6134453798"/>
    <n v="3967500"/>
  </r>
  <r>
    <x v="8"/>
    <s v="CIVIL"/>
    <x v="2"/>
    <s v="EURL DJEDIDEN FOOD"/>
    <x v="0"/>
    <x v="1"/>
    <s v="PFCT001"/>
    <x v="4"/>
    <n v="1500"/>
    <n v="96.6386554621849"/>
    <n v="0"/>
    <n v="0"/>
  </r>
  <r>
    <x v="8"/>
    <s v="CIVIL"/>
    <x v="2"/>
    <s v="EURL DJEDIDEN FOOD"/>
    <x v="0"/>
    <x v="1"/>
    <s v="PFCT001"/>
    <x v="4"/>
    <n v="34500"/>
    <n v="96.6386554621849"/>
    <n v="3334033.6134453798"/>
    <n v="3967500"/>
  </r>
  <r>
    <x v="8"/>
    <s v="B2B"/>
    <x v="2"/>
    <s v="EURL DJEDIDEN FOOD"/>
    <x v="0"/>
    <x v="1"/>
    <s v="PFCT002"/>
    <x v="5"/>
    <n v="250"/>
    <n v="178.99159663865501"/>
    <n v="0"/>
    <n v="0"/>
  </r>
  <r>
    <x v="8"/>
    <s v="B2B"/>
    <x v="2"/>
    <s v="EURL DJEDIDEN FOOD"/>
    <x v="0"/>
    <x v="1"/>
    <s v="PFCT002"/>
    <x v="5"/>
    <n v="5750"/>
    <n v="178.99159663865501"/>
    <n v="1029201.68067227"/>
    <n v="1224750"/>
  </r>
  <r>
    <x v="8"/>
    <s v="B2B"/>
    <x v="2"/>
    <s v="EURL DJEDIDEN FOOD"/>
    <x v="0"/>
    <x v="1"/>
    <s v="PFCT002"/>
    <x v="5"/>
    <n v="150"/>
    <n v="178.99159663865501"/>
    <n v="0"/>
    <n v="0"/>
  </r>
  <r>
    <x v="8"/>
    <s v="B2B"/>
    <x v="2"/>
    <s v="EURL DJEDIDEN FOOD"/>
    <x v="0"/>
    <x v="1"/>
    <s v="PFCT002"/>
    <x v="5"/>
    <n v="3450"/>
    <n v="178.99159663865501"/>
    <n v="617521.00840336003"/>
    <n v="734850"/>
  </r>
  <r>
    <x v="8"/>
    <s v="CIVIL"/>
    <x v="2"/>
    <s v="EURL DJEDIDEN FOOD"/>
    <x v="0"/>
    <x v="0"/>
    <s v="PFCC004"/>
    <x v="0"/>
    <n v="2400"/>
    <n v="198.31932773109199"/>
    <n v="475966.38655462099"/>
    <n v="566400"/>
  </r>
  <r>
    <x v="8"/>
    <s v="B2B"/>
    <x v="2"/>
    <s v="EURL DJEDIDEN FOOD"/>
    <x v="0"/>
    <x v="2"/>
    <s v="CON02"/>
    <x v="3"/>
    <n v="18"/>
    <n v="0"/>
    <n v="0"/>
    <n v="0"/>
  </r>
  <r>
    <x v="8"/>
    <s v="B2B"/>
    <x v="2"/>
    <s v="EURL DJEDIDEN FOOD"/>
    <x v="0"/>
    <x v="2"/>
    <s v="CON02"/>
    <x v="3"/>
    <n v="18"/>
    <n v="0"/>
    <n v="0"/>
    <n v="0"/>
  </r>
  <r>
    <x v="8"/>
    <s v="CIVIL"/>
    <x v="4"/>
    <s v="EURL CODIGEC"/>
    <x v="0"/>
    <x v="1"/>
    <s v="PFCT001"/>
    <x v="4"/>
    <n v="500"/>
    <n v="96.6386554621849"/>
    <n v="0"/>
    <n v="0"/>
  </r>
  <r>
    <x v="8"/>
    <s v="CIVIL"/>
    <x v="4"/>
    <s v="EURL CODIGEC"/>
    <x v="0"/>
    <x v="1"/>
    <s v="PFCT001"/>
    <x v="4"/>
    <n v="11500"/>
    <n v="96.6386554621849"/>
    <n v="1111344.5378151301"/>
    <n v="1322500"/>
  </r>
  <r>
    <x v="8"/>
    <s v="B2B"/>
    <x v="4"/>
    <s v="EURL CODIGEC"/>
    <x v="0"/>
    <x v="1"/>
    <s v="PFCT002"/>
    <x v="5"/>
    <n v="250"/>
    <n v="178.99159663865501"/>
    <n v="0"/>
    <n v="0"/>
  </r>
  <r>
    <x v="8"/>
    <s v="B2B"/>
    <x v="4"/>
    <s v="EURL CODIGEC"/>
    <x v="0"/>
    <x v="1"/>
    <s v="PFCT002"/>
    <x v="5"/>
    <n v="5750"/>
    <n v="178.99159663865501"/>
    <n v="1029201.68067227"/>
    <n v="1224750"/>
  </r>
  <r>
    <x v="8"/>
    <s v="B2B"/>
    <x v="4"/>
    <s v="EURL CODIGEC"/>
    <x v="0"/>
    <x v="2"/>
    <s v="CON02"/>
    <x v="3"/>
    <n v="8"/>
    <n v="0"/>
    <n v="0"/>
    <n v="0"/>
  </r>
  <r>
    <x v="8"/>
    <s v="B2B"/>
    <x v="6"/>
    <s v="EURL BAALI LI TIDJARA WA SINAA"/>
    <x v="0"/>
    <x v="1"/>
    <s v="PFCT002"/>
    <x v="5"/>
    <n v="50"/>
    <n v="178.99159663865501"/>
    <n v="0"/>
    <n v="0"/>
  </r>
  <r>
    <x v="8"/>
    <s v="B2B"/>
    <x v="6"/>
    <s v="EURL BAALI LI TIDJARA WA SINAA"/>
    <x v="0"/>
    <x v="1"/>
    <s v="PFCT002"/>
    <x v="5"/>
    <n v="1150"/>
    <n v="178.99159663865501"/>
    <n v="205840.33613445301"/>
    <n v="244950"/>
  </r>
  <r>
    <x v="8"/>
    <s v="CIVIL"/>
    <x v="6"/>
    <s v="EURL BAALI LI TIDJARA WA SINAA"/>
    <x v="0"/>
    <x v="1"/>
    <s v="PFCT012"/>
    <x v="2"/>
    <n v="22800"/>
    <n v="231.09243697478999"/>
    <n v="5268907.5630252101"/>
    <n v="6270000"/>
  </r>
  <r>
    <x v="8"/>
    <s v="B2B"/>
    <x v="6"/>
    <s v="EURL BAALI LI TIDJARA WA SINAA"/>
    <x v="0"/>
    <x v="2"/>
    <s v="CON02"/>
    <x v="3"/>
    <n v="16"/>
    <n v="0"/>
    <n v="0"/>
    <n v="0"/>
  </r>
  <r>
    <x v="8"/>
    <s v="CIVIL"/>
    <x v="7"/>
    <s v="SARL UNIVERS DISTRIBUTION ET VALUATION"/>
    <x v="0"/>
    <x v="1"/>
    <s v="PFCT001"/>
    <x v="4"/>
    <n v="500"/>
    <n v="96.6386554621849"/>
    <n v="0"/>
    <n v="0"/>
  </r>
  <r>
    <x v="8"/>
    <s v="CIVIL"/>
    <x v="7"/>
    <s v="SARL UNIVERS DISTRIBUTION ET VALUATION"/>
    <x v="0"/>
    <x v="1"/>
    <s v="PFCT001"/>
    <x v="4"/>
    <n v="11500"/>
    <n v="96.6386554621849"/>
    <n v="1111344.5378151301"/>
    <n v="1322500"/>
  </r>
  <r>
    <x v="8"/>
    <s v="B2B"/>
    <x v="7"/>
    <s v="SARL UNIVERS DISTRIBUTION ET VALUATION"/>
    <x v="0"/>
    <x v="1"/>
    <s v="PFCT002"/>
    <x v="5"/>
    <n v="250"/>
    <n v="178.99159663865501"/>
    <n v="0"/>
    <n v="0"/>
  </r>
  <r>
    <x v="8"/>
    <s v="B2B"/>
    <x v="7"/>
    <s v="SARL UNIVERS DISTRIBUTION ET VALUATION"/>
    <x v="0"/>
    <x v="1"/>
    <s v="PFCT002"/>
    <x v="5"/>
    <n v="5750"/>
    <n v="178.99159663865501"/>
    <n v="1029201.68067227"/>
    <n v="1224750"/>
  </r>
  <r>
    <x v="8"/>
    <s v="B2B"/>
    <x v="7"/>
    <s v="SARL UNIVERS DISTRIBUTION ET VALUATION"/>
    <x v="0"/>
    <x v="2"/>
    <s v="CON02"/>
    <x v="3"/>
    <n v="8"/>
    <n v="0"/>
    <n v="0"/>
    <n v="0"/>
  </r>
  <r>
    <x v="8"/>
    <s v="CIVIL"/>
    <x v="42"/>
    <s v="DOUAFI MED"/>
    <x v="0"/>
    <x v="1"/>
    <s v="PFCT001"/>
    <x v="4"/>
    <n v="300"/>
    <n v="96.6386554621849"/>
    <n v="0"/>
    <n v="0"/>
  </r>
  <r>
    <x v="8"/>
    <s v="CIVIL"/>
    <x v="42"/>
    <s v="DOUAFI MED"/>
    <x v="0"/>
    <x v="1"/>
    <s v="PFCT001"/>
    <x v="4"/>
    <n v="6900"/>
    <n v="96.6386554621849"/>
    <n v="666806.72268907598"/>
    <n v="793500.00000001001"/>
  </r>
  <r>
    <x v="8"/>
    <s v="B2B"/>
    <x v="42"/>
    <s v="DOUAFI MED"/>
    <x v="0"/>
    <x v="1"/>
    <s v="PFCT002"/>
    <x v="5"/>
    <n v="200"/>
    <n v="178.99159663865501"/>
    <n v="0"/>
    <n v="0"/>
  </r>
  <r>
    <x v="8"/>
    <s v="B2B"/>
    <x v="42"/>
    <s v="DOUAFI MED"/>
    <x v="0"/>
    <x v="1"/>
    <s v="PFCT002"/>
    <x v="5"/>
    <n v="4600"/>
    <n v="178.99159663865501"/>
    <n v="823361.34453781298"/>
    <n v="979800.00000001001"/>
  </r>
  <r>
    <x v="8"/>
    <s v="CIVIL"/>
    <x v="42"/>
    <s v="DOUAFI MED"/>
    <x v="0"/>
    <x v="1"/>
    <s v="PFCT012"/>
    <x v="2"/>
    <n v="3600"/>
    <n v="231.09243697478999"/>
    <n v="831932.77310924395"/>
    <n v="990000"/>
  </r>
  <r>
    <x v="8"/>
    <s v="B2B"/>
    <x v="42"/>
    <s v="DOUAFI MED"/>
    <x v="0"/>
    <x v="2"/>
    <s v="CON02"/>
    <x v="3"/>
    <n v="8"/>
    <n v="0"/>
    <n v="0"/>
    <n v="0"/>
  </r>
  <r>
    <x v="8"/>
    <s v="CIVIL"/>
    <x v="43"/>
    <s v="SARL SMART WEST"/>
    <x v="0"/>
    <x v="1"/>
    <s v="PFCT001"/>
    <x v="4"/>
    <n v="2200"/>
    <n v="96.6386554621849"/>
    <n v="0"/>
    <n v="0"/>
  </r>
  <r>
    <x v="8"/>
    <s v="CIVIL"/>
    <x v="43"/>
    <s v="SARL SMART WEST"/>
    <x v="0"/>
    <x v="1"/>
    <s v="PFCT001"/>
    <x v="4"/>
    <n v="50600"/>
    <n v="96.6386554621849"/>
    <n v="4889915.9663865604"/>
    <n v="5818999.9999999898"/>
  </r>
  <r>
    <x v="8"/>
    <s v="B2B"/>
    <x v="43"/>
    <s v="SARL SMART WEST"/>
    <x v="0"/>
    <x v="2"/>
    <s v="CON02"/>
    <x v="3"/>
    <n v="18"/>
    <n v="0"/>
    <n v="0"/>
    <n v="0"/>
  </r>
  <r>
    <x v="9"/>
    <s v="MDN"/>
    <x v="44"/>
    <s v="3 EME REGION"/>
    <x v="5"/>
    <x v="1"/>
    <s v="PFMT016"/>
    <x v="12"/>
    <n v="20000"/>
    <n v="240.48"/>
    <n v="4809600"/>
    <n v="5723424"/>
  </r>
  <r>
    <x v="9"/>
    <s v="MDN"/>
    <x v="44"/>
    <s v="3 EME REGION"/>
    <x v="5"/>
    <x v="1"/>
    <s v="PFMT016"/>
    <x v="12"/>
    <n v="20000"/>
    <n v="240.48"/>
    <n v="4809600"/>
    <n v="5723424"/>
  </r>
  <r>
    <x v="9"/>
    <s v="MDN"/>
    <x v="45"/>
    <s v="4 EME REGION"/>
    <x v="7"/>
    <x v="1"/>
    <s v="PFMT016"/>
    <x v="12"/>
    <n v="25000"/>
    <n v="240.48"/>
    <n v="6012000"/>
    <n v="7154280"/>
  </r>
  <r>
    <x v="9"/>
    <s v="B2B"/>
    <x v="46"/>
    <s v="SARL BELFRUITS"/>
    <x v="2"/>
    <x v="2"/>
    <s v="CON01"/>
    <x v="13"/>
    <n v="8"/>
    <n v="2500"/>
    <n v="20000"/>
    <n v="20000"/>
  </r>
  <r>
    <x v="9"/>
    <s v="B2B"/>
    <x v="46"/>
    <s v="SARL BELFRUITS"/>
    <x v="2"/>
    <x v="2"/>
    <s v="PSFK017-2024"/>
    <x v="17"/>
    <n v="1680"/>
    <n v="88"/>
    <n v="147840"/>
    <n v="175929.60000000001"/>
  </r>
  <r>
    <x v="9"/>
    <s v="B2B"/>
    <x v="47"/>
    <s v="SARL DOUIDI FOOD"/>
    <x v="2"/>
    <x v="2"/>
    <s v="CON01"/>
    <x v="13"/>
    <n v="4"/>
    <n v="2500"/>
    <n v="10000"/>
    <n v="10000"/>
  </r>
  <r>
    <x v="9"/>
    <s v="B2B"/>
    <x v="47"/>
    <s v="SARL DOUIDI FOOD"/>
    <x v="2"/>
    <x v="1"/>
    <s v="PSFK027-2024"/>
    <x v="16"/>
    <n v="920"/>
    <n v="217"/>
    <n v="199640"/>
    <n v="237571.6"/>
  </r>
  <r>
    <x v="9"/>
    <s v="MDN"/>
    <x v="24"/>
    <s v="6 EME REGION"/>
    <x v="6"/>
    <x v="1"/>
    <s v="PFMT016"/>
    <x v="12"/>
    <n v="20000"/>
    <n v="240.48"/>
    <n v="4809600"/>
    <n v="5723424"/>
  </r>
  <r>
    <x v="9"/>
    <s v="MDN"/>
    <x v="48"/>
    <s v="3 ÈME RÉGION"/>
    <x v="5"/>
    <x v="1"/>
    <s v="PFMT016"/>
    <x v="12"/>
    <n v="20000"/>
    <n v="240.48"/>
    <n v="4809600"/>
    <n v="5723424"/>
  </r>
  <r>
    <x v="9"/>
    <s v="MDN"/>
    <x v="49"/>
    <s v="3 ÈME RÉGION"/>
    <x v="5"/>
    <x v="0"/>
    <s v="PFMC017"/>
    <x v="18"/>
    <n v="5000"/>
    <n v="207.73"/>
    <n v="1038650"/>
    <n v="1235993.5"/>
  </r>
  <r>
    <x v="9"/>
    <s v="MDN"/>
    <x v="49"/>
    <s v="3 ÈME RÉGION"/>
    <x v="5"/>
    <x v="1"/>
    <s v="PFMT016"/>
    <x v="12"/>
    <n v="15000"/>
    <n v="240.48"/>
    <n v="3607200"/>
    <n v="4292568"/>
  </r>
  <r>
    <x v="9"/>
    <s v="CIVIL"/>
    <x v="50"/>
    <s v="EURL MANAGER OUEST"/>
    <x v="0"/>
    <x v="1"/>
    <s v="PFCT001"/>
    <x v="4"/>
    <n v="1200"/>
    <n v="96.6386554621849"/>
    <n v="0"/>
    <n v="0"/>
  </r>
  <r>
    <x v="9"/>
    <s v="CIVIL"/>
    <x v="50"/>
    <s v="EURL MANAGER OUEST"/>
    <x v="0"/>
    <x v="1"/>
    <s v="PFCT001"/>
    <x v="4"/>
    <n v="27600"/>
    <n v="96.6386554621849"/>
    <n v="2667226.8907563002"/>
    <n v="3174000"/>
  </r>
  <r>
    <x v="9"/>
    <s v="B2B"/>
    <x v="50"/>
    <s v="EURL MANAGER OUEST"/>
    <x v="0"/>
    <x v="1"/>
    <s v="PFCT002"/>
    <x v="5"/>
    <n v="250"/>
    <n v="178.99159663865501"/>
    <n v="0"/>
    <n v="0"/>
  </r>
  <r>
    <x v="9"/>
    <s v="B2B"/>
    <x v="50"/>
    <s v="EURL MANAGER OUEST"/>
    <x v="0"/>
    <x v="1"/>
    <s v="PFCT002"/>
    <x v="5"/>
    <n v="5750"/>
    <n v="178.99159663865501"/>
    <n v="1029201.68067227"/>
    <n v="1224750"/>
  </r>
  <r>
    <x v="9"/>
    <s v="CIVIL"/>
    <x v="50"/>
    <s v="EURL MANAGER OUEST"/>
    <x v="0"/>
    <x v="0"/>
    <s v="PFCC004"/>
    <x v="0"/>
    <n v="2400"/>
    <n v="198.31932773109199"/>
    <n v="475966.38655462099"/>
    <n v="566400"/>
  </r>
  <r>
    <x v="9"/>
    <s v="CIVIL"/>
    <x v="50"/>
    <s v="EURL MANAGER OUEST"/>
    <x v="0"/>
    <x v="1"/>
    <s v="PFCT012"/>
    <x v="2"/>
    <n v="1200"/>
    <n v="231.09243697478999"/>
    <n v="277310.92436974798"/>
    <n v="330000"/>
  </r>
  <r>
    <x v="9"/>
    <s v="B2B"/>
    <x v="50"/>
    <s v="EURL MANAGER OUEST"/>
    <x v="0"/>
    <x v="2"/>
    <s v="CON02"/>
    <x v="3"/>
    <n v="16"/>
    <n v="0"/>
    <n v="0"/>
    <n v="0"/>
  </r>
  <r>
    <x v="9"/>
    <s v="CIVIL"/>
    <x v="43"/>
    <s v="SARL SMART WEST"/>
    <x v="0"/>
    <x v="1"/>
    <s v="PFCT001"/>
    <x v="4"/>
    <n v="1000"/>
    <n v="96.6386554621849"/>
    <n v="0"/>
    <n v="0"/>
  </r>
  <r>
    <x v="9"/>
    <s v="CIVIL"/>
    <x v="43"/>
    <s v="SARL SMART WEST"/>
    <x v="0"/>
    <x v="1"/>
    <s v="PFCT001"/>
    <x v="4"/>
    <n v="23000"/>
    <n v="96.6386554621849"/>
    <n v="2222689.0756302499"/>
    <n v="2645000"/>
  </r>
  <r>
    <x v="9"/>
    <s v="B2B"/>
    <x v="43"/>
    <s v="SARL SMART WEST"/>
    <x v="0"/>
    <x v="1"/>
    <s v="PFCT002"/>
    <x v="5"/>
    <n v="350"/>
    <n v="178.99159663865501"/>
    <n v="0"/>
    <n v="0"/>
  </r>
  <r>
    <x v="9"/>
    <s v="B2B"/>
    <x v="43"/>
    <s v="SARL SMART WEST"/>
    <x v="0"/>
    <x v="1"/>
    <s v="PFCT002"/>
    <x v="5"/>
    <n v="8050"/>
    <n v="178.99159663865501"/>
    <n v="1440882.3529411701"/>
    <n v="1714650"/>
  </r>
  <r>
    <x v="9"/>
    <s v="CIVIL"/>
    <x v="43"/>
    <s v="SARL SMART WEST"/>
    <x v="0"/>
    <x v="0"/>
    <s v="PFCC004"/>
    <x v="0"/>
    <n v="2400"/>
    <n v="198.31932773109199"/>
    <n v="475966.38655462099"/>
    <n v="566400"/>
  </r>
  <r>
    <x v="9"/>
    <s v="CIVIL"/>
    <x v="43"/>
    <s v="SARL SMART WEST"/>
    <x v="0"/>
    <x v="1"/>
    <s v="PFCT011"/>
    <x v="1"/>
    <n v="2400"/>
    <n v="126.05042016806701"/>
    <n v="302521.00840336102"/>
    <n v="360000"/>
  </r>
  <r>
    <x v="9"/>
    <s v="B2B"/>
    <x v="43"/>
    <s v="SARL SMART WEST"/>
    <x v="0"/>
    <x v="2"/>
    <s v="CON02"/>
    <x v="3"/>
    <n v="16"/>
    <n v="0"/>
    <n v="0"/>
    <n v="0"/>
  </r>
  <r>
    <x v="9"/>
    <s v="CIVIL"/>
    <x v="43"/>
    <s v="SARL SMART WEST"/>
    <x v="0"/>
    <x v="0"/>
    <s v="PFCC018"/>
    <x v="8"/>
    <n v="2400"/>
    <n v="89.915966386554601"/>
    <n v="215798.31932773101"/>
    <n v="256800"/>
  </r>
  <r>
    <x v="9"/>
    <s v="CIVIL"/>
    <x v="43"/>
    <s v="SARL SMART WEST"/>
    <x v="0"/>
    <x v="0"/>
    <s v="PFCC020"/>
    <x v="7"/>
    <n v="2400"/>
    <n v="98.3193277310924"/>
    <n v="235966.386554622"/>
    <n v="280800"/>
  </r>
  <r>
    <x v="10"/>
    <s v="CIVIL"/>
    <x v="23"/>
    <s v="SARL AGROLGICA"/>
    <x v="0"/>
    <x v="1"/>
    <s v="PFCT001"/>
    <x v="4"/>
    <n v="400"/>
    <n v="96.6386554621849"/>
    <n v="0"/>
    <n v="0"/>
  </r>
  <r>
    <x v="10"/>
    <s v="CIVIL"/>
    <x v="23"/>
    <s v="SARL AGROLGICA"/>
    <x v="0"/>
    <x v="1"/>
    <s v="PFCT001"/>
    <x v="4"/>
    <n v="9200"/>
    <n v="96.6386554621849"/>
    <n v="889075.63025210099"/>
    <n v="1058000"/>
  </r>
  <r>
    <x v="10"/>
    <s v="B2B"/>
    <x v="23"/>
    <s v="SARL AGROLGICA"/>
    <x v="0"/>
    <x v="1"/>
    <s v="PFCT002"/>
    <x v="5"/>
    <n v="100"/>
    <n v="178.99159663865501"/>
    <n v="0"/>
    <n v="0"/>
  </r>
  <r>
    <x v="10"/>
    <s v="B2B"/>
    <x v="23"/>
    <s v="SARL AGROLGICA"/>
    <x v="0"/>
    <x v="1"/>
    <s v="PFCT002"/>
    <x v="5"/>
    <n v="2300"/>
    <n v="178.99159663865501"/>
    <n v="411680.67226890702"/>
    <n v="489900"/>
  </r>
  <r>
    <x v="10"/>
    <s v="CIVIL"/>
    <x v="23"/>
    <s v="SARL AGROLGICA"/>
    <x v="0"/>
    <x v="1"/>
    <s v="PFCT012"/>
    <x v="2"/>
    <n v="16800"/>
    <n v="231.09243697478999"/>
    <n v="3882352.9411764699"/>
    <n v="4620000"/>
  </r>
  <r>
    <x v="10"/>
    <s v="B2B"/>
    <x v="23"/>
    <s v="SARL AGROLGICA"/>
    <x v="0"/>
    <x v="2"/>
    <s v="CON02"/>
    <x v="3"/>
    <n v="16"/>
    <n v="0"/>
    <n v="0"/>
    <n v="0"/>
  </r>
  <r>
    <x v="10"/>
    <s v="B2B"/>
    <x v="51"/>
    <s v="KHELIFI DJEMOUI - BISKRA"/>
    <x v="0"/>
    <x v="1"/>
    <s v="PFCT002"/>
    <x v="5"/>
    <n v="700"/>
    <n v="178.99159663865501"/>
    <n v="0"/>
    <n v="0"/>
  </r>
  <r>
    <x v="10"/>
    <s v="B2B"/>
    <x v="51"/>
    <s v="KHELIFI DJEMOUI - BISKRA"/>
    <x v="0"/>
    <x v="1"/>
    <s v="PFCT002"/>
    <x v="5"/>
    <n v="16100"/>
    <n v="178.99159663865501"/>
    <n v="2881764.70588235"/>
    <n v="3429300"/>
  </r>
  <r>
    <x v="10"/>
    <s v="CIVIL"/>
    <x v="51"/>
    <s v="KHELIFI DJEMOUI - BISKRA"/>
    <x v="0"/>
    <x v="1"/>
    <s v="PFCT012"/>
    <x v="2"/>
    <n v="7200"/>
    <n v="231.09243697478999"/>
    <n v="1663865.54621849"/>
    <n v="1980000"/>
  </r>
  <r>
    <x v="10"/>
    <s v="B2B"/>
    <x v="51"/>
    <s v="KHELIFI DJEMOUI - BISKRA"/>
    <x v="0"/>
    <x v="2"/>
    <s v="CON02"/>
    <x v="3"/>
    <n v="16"/>
    <n v="0"/>
    <n v="0"/>
    <n v="0"/>
  </r>
  <r>
    <x v="10"/>
    <s v="B2B"/>
    <x v="0"/>
    <s v="BENHAMIDA"/>
    <x v="0"/>
    <x v="2"/>
    <s v="CON02"/>
    <x v="3"/>
    <n v="18"/>
    <n v="0"/>
    <n v="0"/>
    <n v="0"/>
  </r>
  <r>
    <x v="10"/>
    <s v="B2B"/>
    <x v="0"/>
    <s v="BENHAMIDA"/>
    <x v="0"/>
    <x v="0"/>
    <s v="PFCC022"/>
    <x v="11"/>
    <n v="52800"/>
    <n v="109.243697478992"/>
    <n v="5768067.22689078"/>
    <n v="6864000"/>
  </r>
  <r>
    <x v="10"/>
    <s v="MDN"/>
    <x v="52"/>
    <s v="2 ÈME RÉGION"/>
    <x v="3"/>
    <x v="1"/>
    <s v="PFMT016"/>
    <x v="12"/>
    <n v="10000"/>
    <n v="240.48"/>
    <n v="2404800"/>
    <n v="2861712"/>
  </r>
  <r>
    <x v="10"/>
    <s v="MDN"/>
    <x v="52"/>
    <s v="2 ÈME RÉGION"/>
    <x v="3"/>
    <x v="1"/>
    <s v="PFMT016"/>
    <x v="12"/>
    <n v="10000"/>
    <n v="240.48"/>
    <n v="2404800"/>
    <n v="2861712"/>
  </r>
  <r>
    <x v="10"/>
    <s v="MDN"/>
    <x v="48"/>
    <s v="3 ÈME RÉGION"/>
    <x v="5"/>
    <x v="1"/>
    <s v="PFMT016"/>
    <x v="12"/>
    <n v="20000"/>
    <n v="240.48"/>
    <n v="4809600"/>
    <n v="5723424"/>
  </r>
  <r>
    <x v="10"/>
    <s v="CIVIL"/>
    <x v="7"/>
    <s v="SARL UNIVERS DISTRIBUTION ET VALUATION"/>
    <x v="0"/>
    <x v="1"/>
    <s v="PFCT011"/>
    <x v="1"/>
    <n v="9600"/>
    <n v="126.05042016806701"/>
    <n v="1210084.0336134401"/>
    <n v="1440000.00000001"/>
  </r>
  <r>
    <x v="10"/>
    <s v="CIVIL"/>
    <x v="7"/>
    <s v="SARL UNIVERS DISTRIBUTION ET VALUATION"/>
    <x v="0"/>
    <x v="1"/>
    <s v="PFCT012"/>
    <x v="2"/>
    <n v="4800"/>
    <n v="231.09243697478999"/>
    <n v="1109243.6974789901"/>
    <n v="1320000"/>
  </r>
  <r>
    <x v="10"/>
    <s v="CIVIL"/>
    <x v="7"/>
    <s v="SARL UNIVERS DISTRIBUTION ET VALUATION"/>
    <x v="0"/>
    <x v="3"/>
    <s v="PFCH014"/>
    <x v="9"/>
    <n v="2400"/>
    <n v="214.28571428571399"/>
    <n v="514285.71428571403"/>
    <n v="611999.99999998999"/>
  </r>
  <r>
    <x v="10"/>
    <s v="B2B"/>
    <x v="7"/>
    <s v="SARL UNIVERS DISTRIBUTION ET VALUATION"/>
    <x v="0"/>
    <x v="2"/>
    <s v="CON02"/>
    <x v="3"/>
    <n v="8"/>
    <n v="0"/>
    <n v="0"/>
    <n v="0"/>
  </r>
  <r>
    <x v="10"/>
    <s v="CIVIL"/>
    <x v="13"/>
    <s v="SAOUD MOHAMED"/>
    <x v="0"/>
    <x v="0"/>
    <s v="PFCC004"/>
    <x v="0"/>
    <n v="2400"/>
    <n v="198.31932773109199"/>
    <n v="475966.38655462099"/>
    <n v="566400"/>
  </r>
  <r>
    <x v="10"/>
    <s v="CIVIL"/>
    <x v="13"/>
    <s v="SAOUD MOHAMED"/>
    <x v="0"/>
    <x v="1"/>
    <s v="PFCT012"/>
    <x v="2"/>
    <n v="9600"/>
    <n v="231.09243697478999"/>
    <n v="2218487.3949579801"/>
    <n v="2640000"/>
  </r>
  <r>
    <x v="10"/>
    <s v="B2B"/>
    <x v="13"/>
    <s v="SAOUD MOHAMED"/>
    <x v="0"/>
    <x v="2"/>
    <s v="CON02"/>
    <x v="3"/>
    <n v="8"/>
    <n v="0"/>
    <n v="0"/>
    <n v="0"/>
  </r>
  <r>
    <x v="10"/>
    <s v="CIVIL"/>
    <x v="9"/>
    <s v="SARL IKHOUA LI TAGHDIA"/>
    <x v="0"/>
    <x v="0"/>
    <s v="PFCC004"/>
    <x v="0"/>
    <n v="2400"/>
    <n v="198.31932773109199"/>
    <n v="475966.38655462099"/>
    <n v="566400"/>
  </r>
  <r>
    <x v="10"/>
    <s v="CIVIL"/>
    <x v="9"/>
    <s v="SARL IKHOUA LI TAGHDIA"/>
    <x v="0"/>
    <x v="1"/>
    <s v="PFCT012"/>
    <x v="2"/>
    <n v="14400"/>
    <n v="231.09243697478999"/>
    <n v="3327731.09243698"/>
    <n v="3959999.9999999902"/>
  </r>
  <r>
    <x v="10"/>
    <s v="CIVIL"/>
    <x v="9"/>
    <s v="SARL IKHOUA LI TAGHDIA"/>
    <x v="0"/>
    <x v="3"/>
    <s v="PFCH014"/>
    <x v="9"/>
    <n v="2400"/>
    <n v="214.28571428571399"/>
    <n v="514285.71428571403"/>
    <n v="611999.99999998999"/>
  </r>
  <r>
    <x v="10"/>
    <s v="CIVIL"/>
    <x v="9"/>
    <s v="SARL IKHOUA LI TAGHDIA"/>
    <x v="0"/>
    <x v="3"/>
    <s v="PFCH015"/>
    <x v="10"/>
    <n v="4800"/>
    <n v="117.64705882352899"/>
    <n v="564705.88235293899"/>
    <n v="672000"/>
  </r>
  <r>
    <x v="10"/>
    <s v="B2B"/>
    <x v="9"/>
    <s v="SARL IKHOUA LI TAGHDIA"/>
    <x v="0"/>
    <x v="2"/>
    <s v="CON02"/>
    <x v="3"/>
    <n v="16"/>
    <n v="0"/>
    <n v="0"/>
    <n v="0"/>
  </r>
  <r>
    <x v="10"/>
    <s v="B2B"/>
    <x v="9"/>
    <s v="SARL IKHOUA LI TAGHDIA"/>
    <x v="0"/>
    <x v="0"/>
    <s v="PFCC022"/>
    <x v="11"/>
    <n v="4800"/>
    <n v="109.243697478992"/>
    <n v="524369.747899162"/>
    <n v="624000"/>
  </r>
  <r>
    <x v="11"/>
    <s v="B2B"/>
    <x v="47"/>
    <s v="SARL DOUIDI FOOD"/>
    <x v="2"/>
    <x v="2"/>
    <s v="CON01"/>
    <x v="13"/>
    <n v="4"/>
    <n v="2500"/>
    <n v="10000"/>
    <n v="10000"/>
  </r>
  <r>
    <x v="11"/>
    <s v="B2B"/>
    <x v="47"/>
    <s v="SARL DOUIDI FOOD"/>
    <x v="2"/>
    <x v="1"/>
    <s v="PSFK027-2024"/>
    <x v="16"/>
    <n v="920"/>
    <n v="217"/>
    <n v="199640"/>
    <n v="237571.6"/>
  </r>
  <r>
    <x v="11"/>
    <s v="CIVIL"/>
    <x v="53"/>
    <s v="LEZAGHEM MEFTAH/SOUIGAT YASSINE"/>
    <x v="0"/>
    <x v="1"/>
    <s v="PFCT001"/>
    <x v="4"/>
    <n v="300"/>
    <n v="96.6386554621849"/>
    <n v="0"/>
    <n v="0"/>
  </r>
  <r>
    <x v="11"/>
    <s v="CIVIL"/>
    <x v="53"/>
    <s v="LEZAGHEM MEFTAH/SOUIGAT YASSINE"/>
    <x v="0"/>
    <x v="1"/>
    <s v="PFCT001"/>
    <x v="4"/>
    <n v="6900"/>
    <n v="96.6386554621849"/>
    <n v="666806.72268907598"/>
    <n v="793500.00000001001"/>
  </r>
  <r>
    <x v="11"/>
    <s v="B2B"/>
    <x v="53"/>
    <s v="LEZAGHEM MEFTAH/SOUIGAT YASSINE"/>
    <x v="0"/>
    <x v="1"/>
    <s v="PFCT002"/>
    <x v="5"/>
    <n v="300"/>
    <n v="178.99159663865501"/>
    <n v="0"/>
    <n v="0"/>
  </r>
  <r>
    <x v="11"/>
    <s v="B2B"/>
    <x v="53"/>
    <s v="LEZAGHEM MEFTAH/SOUIGAT YASSINE"/>
    <x v="0"/>
    <x v="1"/>
    <s v="PFCT002"/>
    <x v="5"/>
    <n v="6900"/>
    <n v="178.99159663865501"/>
    <n v="1235042.0168067201"/>
    <n v="1469700"/>
  </r>
  <r>
    <x v="11"/>
    <s v="CIVIL"/>
    <x v="53"/>
    <s v="LEZAGHEM MEFTAH/SOUIGAT YASSINE"/>
    <x v="0"/>
    <x v="0"/>
    <s v="PFCC004"/>
    <x v="0"/>
    <n v="3600"/>
    <n v="198.31932773109199"/>
    <n v="713949.57983193104"/>
    <n v="849600"/>
  </r>
  <r>
    <x v="11"/>
    <s v="CIVIL"/>
    <x v="53"/>
    <s v="LEZAGHEM MEFTAH/SOUIGAT YASSINE"/>
    <x v="0"/>
    <x v="1"/>
    <s v="PFCT012"/>
    <x v="2"/>
    <n v="6000"/>
    <n v="231.09243697478999"/>
    <n v="1386554.6218487399"/>
    <n v="1650000"/>
  </r>
  <r>
    <x v="11"/>
    <s v="B2B"/>
    <x v="53"/>
    <s v="LEZAGHEM MEFTAH/SOUIGAT YASSINE"/>
    <x v="0"/>
    <x v="2"/>
    <s v="CON02"/>
    <x v="3"/>
    <n v="18"/>
    <n v="0"/>
    <n v="0"/>
    <n v="0"/>
  </r>
  <r>
    <x v="11"/>
    <s v="B2B"/>
    <x v="53"/>
    <s v="LEZAGHEM MEFTAH/SOUIGAT YASSINE"/>
    <x v="0"/>
    <x v="0"/>
    <s v="PFCC022"/>
    <x v="11"/>
    <n v="7200"/>
    <n v="109.243697478992"/>
    <n v="786554.62184874201"/>
    <n v="936000"/>
  </r>
  <r>
    <x v="11"/>
    <s v="CIVIL"/>
    <x v="51"/>
    <s v="KHELIFI DJEMOUI - BISKRA"/>
    <x v="0"/>
    <x v="1"/>
    <s v="PFCT012"/>
    <x v="2"/>
    <n v="24000"/>
    <n v="231.09243697478999"/>
    <n v="5546218.4873949597"/>
    <n v="6600000"/>
  </r>
  <r>
    <x v="11"/>
    <s v="B2B"/>
    <x v="51"/>
    <s v="KHELIFI DJEMOUI - BISKRA"/>
    <x v="0"/>
    <x v="2"/>
    <s v="CON02"/>
    <x v="3"/>
    <n v="16"/>
    <n v="0"/>
    <n v="0"/>
    <n v="0"/>
  </r>
  <r>
    <x v="11"/>
    <s v="MDN"/>
    <x v="19"/>
    <s v="3 EME REGION"/>
    <x v="5"/>
    <x v="1"/>
    <s v="PFMT016"/>
    <x v="12"/>
    <n v="15000"/>
    <n v="240.48"/>
    <n v="3607200"/>
    <n v="4292568"/>
  </r>
  <r>
    <x v="11"/>
    <s v="MDN"/>
    <x v="19"/>
    <s v="3 EME REGION"/>
    <x v="5"/>
    <x v="1"/>
    <s v="PFMT016"/>
    <x v="12"/>
    <n v="5000"/>
    <n v="240.48"/>
    <n v="1202400"/>
    <n v="1430856"/>
  </r>
  <r>
    <x v="11"/>
    <s v="CIVIL"/>
    <x v="20"/>
    <s v="KHELIFI DJEMAOUI BESKRA"/>
    <x v="0"/>
    <x v="1"/>
    <s v="PFCT012"/>
    <x v="2"/>
    <n v="24000"/>
    <n v="231.09243697478999"/>
    <n v="5546218.4873949597"/>
    <n v="6600000"/>
  </r>
  <r>
    <x v="11"/>
    <s v="B2B"/>
    <x v="20"/>
    <s v="KHELIFI DJEMAOUI BESKRA"/>
    <x v="0"/>
    <x v="2"/>
    <s v="CON02"/>
    <x v="3"/>
    <n v="16"/>
    <n v="0"/>
    <n v="0"/>
    <n v="0"/>
  </r>
  <r>
    <x v="11"/>
    <s v="CIVIL"/>
    <x v="54"/>
    <s v="TOUATI ABDELOUAHAB"/>
    <x v="0"/>
    <x v="1"/>
    <s v="PFCT001"/>
    <x v="4"/>
    <n v="200"/>
    <n v="96.6386554621849"/>
    <n v="0"/>
    <n v="0"/>
  </r>
  <r>
    <x v="11"/>
    <s v="CIVIL"/>
    <x v="54"/>
    <s v="TOUATI ABDELOUAHAB"/>
    <x v="0"/>
    <x v="1"/>
    <s v="PFCT001"/>
    <x v="4"/>
    <n v="4600"/>
    <n v="96.6386554621849"/>
    <n v="444537.81512605102"/>
    <n v="529000"/>
  </r>
  <r>
    <x v="11"/>
    <s v="B2B"/>
    <x v="54"/>
    <s v="TOUATI ABDELOUAHAB"/>
    <x v="0"/>
    <x v="1"/>
    <s v="PFCT002"/>
    <x v="5"/>
    <n v="150"/>
    <n v="178.99159663865501"/>
    <n v="0"/>
    <n v="0"/>
  </r>
  <r>
    <x v="11"/>
    <s v="B2B"/>
    <x v="54"/>
    <s v="TOUATI ABDELOUAHAB"/>
    <x v="0"/>
    <x v="1"/>
    <s v="PFCT002"/>
    <x v="5"/>
    <n v="3450"/>
    <n v="178.99159663865501"/>
    <n v="617521.00840336003"/>
    <n v="734850"/>
  </r>
  <r>
    <x v="11"/>
    <s v="CIVIL"/>
    <x v="54"/>
    <s v="TOUATI ABDELOUAHAB"/>
    <x v="0"/>
    <x v="1"/>
    <s v="PFCT011"/>
    <x v="1"/>
    <n v="7200"/>
    <n v="126.05042016806701"/>
    <n v="907563.02521008195"/>
    <n v="1080000"/>
  </r>
  <r>
    <x v="11"/>
    <s v="CIVIL"/>
    <x v="54"/>
    <s v="TOUATI ABDELOUAHAB"/>
    <x v="0"/>
    <x v="3"/>
    <s v="PFCH015"/>
    <x v="10"/>
    <n v="9600"/>
    <n v="117.64705882352899"/>
    <n v="1129411.7647058801"/>
    <n v="1344000"/>
  </r>
  <r>
    <x v="11"/>
    <s v="B2B"/>
    <x v="54"/>
    <s v="TOUATI ABDELOUAHAB"/>
    <x v="0"/>
    <x v="2"/>
    <s v="CON02"/>
    <x v="3"/>
    <n v="18"/>
    <n v="0"/>
    <n v="0"/>
    <n v="0"/>
  </r>
  <r>
    <x v="11"/>
    <s v="B2B"/>
    <x v="54"/>
    <s v="TOUATI ABDELOUAHAB"/>
    <x v="0"/>
    <x v="0"/>
    <s v="PFCC022"/>
    <x v="11"/>
    <n v="19200"/>
    <n v="109.243697478992"/>
    <n v="2097478.9915966499"/>
    <n v="2496000"/>
  </r>
  <r>
    <x v="11"/>
    <s v="CIVIL"/>
    <x v="21"/>
    <s v="LAIFAOUI NOUREDDINE"/>
    <x v="0"/>
    <x v="1"/>
    <s v="PFCT001"/>
    <x v="4"/>
    <n v="200"/>
    <n v="96.6386554621849"/>
    <n v="0"/>
    <n v="0"/>
  </r>
  <r>
    <x v="11"/>
    <s v="CIVIL"/>
    <x v="21"/>
    <s v="LAIFAOUI NOUREDDINE"/>
    <x v="0"/>
    <x v="1"/>
    <s v="PFCT001"/>
    <x v="4"/>
    <n v="4600"/>
    <n v="96.6386554621849"/>
    <n v="444537.81512605102"/>
    <n v="529000"/>
  </r>
  <r>
    <x v="11"/>
    <s v="CIVIL"/>
    <x v="21"/>
    <s v="LAIFAOUI NOUREDDINE"/>
    <x v="0"/>
    <x v="1"/>
    <s v="PFCT011"/>
    <x v="1"/>
    <n v="21600"/>
    <n v="126.05042016806701"/>
    <n v="2722689.0756302499"/>
    <n v="32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62A79F-CB97-4E08-BC39-AF69E98D68E4}" name="Tableau croisé dynamique5"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B1:B2" firstHeaderRow="1" firstDataRow="1" firstDataCol="0"/>
  <pivotFields count="13">
    <pivotField numFmtId="14" showAll="0"/>
    <pivotField showAll="0"/>
    <pivotField showAll="0">
      <items count="78">
        <item x="38"/>
        <item m="1" x="64"/>
        <item x="49"/>
        <item x="44"/>
        <item x="52"/>
        <item x="48"/>
        <item m="1" x="66"/>
        <item x="45"/>
        <item m="1" x="69"/>
        <item x="28"/>
        <item m="1" x="74"/>
        <item x="7"/>
        <item x="5"/>
        <item m="1" x="61"/>
        <item m="1" x="62"/>
        <item x="36"/>
        <item x="14"/>
        <item m="1" x="75"/>
        <item m="1" x="73"/>
        <item m="1" x="71"/>
        <item x="50"/>
        <item x="25"/>
        <item x="20"/>
        <item x="9"/>
        <item x="54"/>
        <item x="26"/>
        <item x="19"/>
        <item x="18"/>
        <item x="15"/>
        <item x="17"/>
        <item x="41"/>
        <item x="24"/>
        <item m="1" x="59"/>
        <item m="1" x="68"/>
        <item x="30"/>
        <item x="29"/>
        <item x="31"/>
        <item x="4"/>
        <item x="2"/>
        <item x="3"/>
        <item x="22"/>
        <item x="37"/>
        <item m="1" x="65"/>
        <item x="8"/>
        <item x="42"/>
        <item x="6"/>
        <item x="10"/>
        <item x="12"/>
        <item x="1"/>
        <item m="1" x="72"/>
        <item x="51"/>
        <item m="1" x="70"/>
        <item m="1" x="56"/>
        <item m="1" x="60"/>
        <item m="1" x="57"/>
        <item x="35"/>
        <item x="34"/>
        <item x="40"/>
        <item x="11"/>
        <item x="43"/>
        <item m="1" x="67"/>
        <item x="23"/>
        <item x="46"/>
        <item x="27"/>
        <item x="32"/>
        <item x="47"/>
        <item m="1" x="58"/>
        <item x="39"/>
        <item x="0"/>
        <item x="16"/>
        <item x="13"/>
        <item x="53"/>
        <item m="1" x="63"/>
        <item m="1" x="55"/>
        <item x="21"/>
        <item x="33"/>
        <item m="1" x="76"/>
        <item t="default"/>
      </items>
    </pivotField>
    <pivotField showAll="0"/>
    <pivotField showAll="0">
      <items count="11">
        <item h="1" x="4"/>
        <item h="1" x="3"/>
        <item h="1" x="5"/>
        <item h="1" x="7"/>
        <item h="1" x="1"/>
        <item h="1" x="6"/>
        <item h="1" x="2"/>
        <item x="0"/>
        <item h="1" m="1" x="9"/>
        <item h="1" m="1" x="8"/>
        <item t="default"/>
      </items>
    </pivotField>
    <pivotField showAll="0">
      <items count="5">
        <item h="1" x="0"/>
        <item h="1" x="3"/>
        <item h="1" x="2"/>
        <item x="1"/>
        <item t="default"/>
      </items>
    </pivotField>
    <pivotField showAll="0"/>
    <pivotField showAll="0">
      <items count="33">
        <item x="15"/>
        <item m="1" x="22"/>
        <item x="4"/>
        <item x="5"/>
        <item x="18"/>
        <item m="1" x="19"/>
        <item x="0"/>
        <item m="1" x="21"/>
        <item x="7"/>
        <item x="6"/>
        <item m="1" x="20"/>
        <item x="8"/>
        <item m="1" x="30"/>
        <item m="1" x="29"/>
        <item x="13"/>
        <item x="3"/>
        <item x="12"/>
        <item m="1" x="27"/>
        <item m="1" x="28"/>
        <item x="1"/>
        <item x="2"/>
        <item m="1" x="31"/>
        <item x="10"/>
        <item x="9"/>
        <item m="1" x="23"/>
        <item m="1" x="24"/>
        <item m="1" x="25"/>
        <item m="1" x="26"/>
        <item x="11"/>
        <item x="14"/>
        <item x="16"/>
        <item x="17"/>
        <item t="default"/>
      </items>
    </pivotField>
    <pivotField dataField="1" showAll="0"/>
    <pivotField showAll="0"/>
    <pivotField showAll="0"/>
    <pivotField showAll="0"/>
    <pivotField showAll="0">
      <items count="11">
        <item x="4"/>
        <item x="5"/>
        <item x="3"/>
        <item x="1"/>
        <item x="0"/>
        <item x="2"/>
        <item x="6"/>
        <item x="7"/>
        <item x="8"/>
        <item x="9"/>
        <item t="default"/>
      </items>
    </pivotField>
  </pivotFields>
  <rowItems count="1">
    <i/>
  </rowItems>
  <colItems count="1">
    <i/>
  </colItems>
  <dataFields count="1">
    <dataField name="Vent Total" fld="8" baseField="0" baseItem="0" numFmtId="4"/>
  </dataFields>
  <formats count="8">
    <format dxfId="14">
      <pivotArea type="all" dataOnly="0" outline="0" fieldPosition="0"/>
    </format>
    <format dxfId="13">
      <pivotArea outline="0" collapsedLevelsAreSubtotals="1" fieldPosition="0"/>
    </format>
    <format dxfId="12">
      <pivotArea dataOnly="0" labelOnly="1" outline="0" axis="axisValues"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A96EF-857F-4CA6-B02C-A356CF56068C}"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6">
  <location ref="A4:F18" firstHeaderRow="1" firstDataRow="2" firstDataCol="1" rowPageCount="2" colPageCount="1"/>
  <pivotFields count="13">
    <pivotField axis="axisRow" numFmtId="14" multipleItemSelectionAllowed="1" showAll="0">
      <items count="33">
        <item m="1" x="12"/>
        <item m="1" x="13"/>
        <item m="1" x="14"/>
        <item m="1" x="15"/>
        <item m="1" x="16"/>
        <item m="1" x="17"/>
        <item m="1" x="18"/>
        <item m="1" x="19"/>
        <item m="1" x="20"/>
        <item m="1" x="21"/>
        <item m="1" x="22"/>
        <item m="1" x="23"/>
        <item m="1" x="24"/>
        <item m="1" x="25"/>
        <item m="1" x="26"/>
        <item m="1" x="27"/>
        <item m="1" x="28"/>
        <item m="1" x="29"/>
        <item m="1" x="30"/>
        <item m="1" x="31"/>
        <item x="0"/>
        <item x="1"/>
        <item x="2"/>
        <item x="3"/>
        <item x="4"/>
        <item x="5"/>
        <item x="6"/>
        <item x="7"/>
        <item x="8"/>
        <item x="9"/>
        <item x="10"/>
        <item x="11"/>
        <item t="default"/>
      </items>
    </pivotField>
    <pivotField showAll="0"/>
    <pivotField showAll="0">
      <items count="78">
        <item x="38"/>
        <item m="1" x="64"/>
        <item x="49"/>
        <item x="44"/>
        <item x="52"/>
        <item x="48"/>
        <item m="1" x="66"/>
        <item x="45"/>
        <item m="1" x="69"/>
        <item x="28"/>
        <item m="1" x="74"/>
        <item x="7"/>
        <item x="5"/>
        <item m="1" x="61"/>
        <item m="1" x="62"/>
        <item x="36"/>
        <item x="14"/>
        <item m="1" x="75"/>
        <item m="1" x="73"/>
        <item m="1" x="71"/>
        <item x="50"/>
        <item x="25"/>
        <item x="20"/>
        <item x="9"/>
        <item x="54"/>
        <item x="26"/>
        <item x="19"/>
        <item x="18"/>
        <item x="15"/>
        <item x="17"/>
        <item x="41"/>
        <item x="24"/>
        <item m="1" x="59"/>
        <item m="1" x="68"/>
        <item x="30"/>
        <item x="29"/>
        <item x="31"/>
        <item x="4"/>
        <item x="2"/>
        <item x="3"/>
        <item x="22"/>
        <item x="37"/>
        <item m="1" x="65"/>
        <item x="8"/>
        <item x="42"/>
        <item x="6"/>
        <item x="10"/>
        <item x="12"/>
        <item x="1"/>
        <item m="1" x="72"/>
        <item x="51"/>
        <item m="1" x="70"/>
        <item m="1" x="56"/>
        <item m="1" x="60"/>
        <item m="1" x="57"/>
        <item x="35"/>
        <item x="34"/>
        <item x="40"/>
        <item x="11"/>
        <item x="43"/>
        <item m="1" x="67"/>
        <item x="23"/>
        <item x="46"/>
        <item x="27"/>
        <item x="32"/>
        <item x="47"/>
        <item m="1" x="58"/>
        <item x="39"/>
        <item x="0"/>
        <item x="16"/>
        <item x="13"/>
        <item x="53"/>
        <item m="1" x="63"/>
        <item m="1" x="55"/>
        <item x="21"/>
        <item x="33"/>
        <item m="1" x="76"/>
        <item t="default"/>
      </items>
    </pivotField>
    <pivotField showAll="0"/>
    <pivotField showAll="0">
      <items count="11">
        <item h="1" x="4"/>
        <item h="1" x="3"/>
        <item h="1" x="5"/>
        <item h="1" x="7"/>
        <item h="1" x="1"/>
        <item h="1" x="6"/>
        <item h="1" x="2"/>
        <item x="0"/>
        <item h="1" m="1" x="9"/>
        <item h="1" m="1" x="8"/>
        <item t="default"/>
      </items>
    </pivotField>
    <pivotField axis="axisPage" multipleItemSelectionAllowed="1" showAll="0">
      <items count="5">
        <item h="1" x="0"/>
        <item h="1" x="3"/>
        <item h="1" x="2"/>
        <item x="1"/>
        <item t="default"/>
      </items>
    </pivotField>
    <pivotField showAll="0"/>
    <pivotField axis="axisCol" showAll="0">
      <items count="33">
        <item x="15"/>
        <item m="1" x="22"/>
        <item x="4"/>
        <item x="5"/>
        <item x="18"/>
        <item m="1" x="19"/>
        <item x="0"/>
        <item m="1" x="21"/>
        <item x="7"/>
        <item x="6"/>
        <item m="1" x="20"/>
        <item x="8"/>
        <item m="1" x="30"/>
        <item m="1" x="29"/>
        <item x="13"/>
        <item x="3"/>
        <item x="12"/>
        <item m="1" x="27"/>
        <item m="1" x="28"/>
        <item x="1"/>
        <item x="2"/>
        <item m="1" x="31"/>
        <item x="10"/>
        <item x="9"/>
        <item m="1" x="23"/>
        <item m="1" x="24"/>
        <item m="1" x="25"/>
        <item m="1" x="26"/>
        <item x="11"/>
        <item x="14"/>
        <item x="16"/>
        <item x="17"/>
        <item t="default"/>
      </items>
    </pivotField>
    <pivotField dataField="1" showAll="0"/>
    <pivotField showAll="0"/>
    <pivotField showAll="0"/>
    <pivotField showAll="0"/>
    <pivotField axis="axisPage" showAll="0">
      <items count="11">
        <item x="4"/>
        <item x="5"/>
        <item x="3"/>
        <item x="1"/>
        <item x="0"/>
        <item x="2"/>
        <item x="6"/>
        <item x="7"/>
        <item x="8"/>
        <item x="9"/>
        <item t="default"/>
      </items>
    </pivotField>
  </pivotFields>
  <rowFields count="1">
    <field x="0"/>
  </rowFields>
  <rowItems count="13">
    <i>
      <x v="20"/>
    </i>
    <i>
      <x v="21"/>
    </i>
    <i>
      <x v="22"/>
    </i>
    <i>
      <x v="23"/>
    </i>
    <i>
      <x v="24"/>
    </i>
    <i>
      <x v="25"/>
    </i>
    <i>
      <x v="26"/>
    </i>
    <i>
      <x v="27"/>
    </i>
    <i>
      <x v="28"/>
    </i>
    <i>
      <x v="29"/>
    </i>
    <i>
      <x v="30"/>
    </i>
    <i>
      <x v="31"/>
    </i>
    <i t="grand">
      <x/>
    </i>
  </rowItems>
  <colFields count="1">
    <field x="7"/>
  </colFields>
  <colItems count="5">
    <i>
      <x v="2"/>
    </i>
    <i>
      <x v="3"/>
    </i>
    <i>
      <x v="19"/>
    </i>
    <i>
      <x v="20"/>
    </i>
    <i t="grand">
      <x/>
    </i>
  </colItems>
  <pageFields count="2">
    <pageField fld="5" hier="-1"/>
    <pageField fld="12" hier="-1"/>
  </pageFields>
  <dataFields count="1">
    <dataField name="Somme de Quantité" fld="8" baseField="0" baseItem="0"/>
  </dataFields>
  <chartFormats count="330">
    <chartFormat chart="0" format="0" series="1">
      <pivotArea type="data" outline="0" fieldPosition="0">
        <references count="3">
          <reference field="4294967294" count="1" selected="0">
            <x v="0"/>
          </reference>
          <reference field="7" count="1" selected="0">
            <x v="0"/>
          </reference>
          <reference field="12" count="1" selected="0">
            <x v="0"/>
          </reference>
        </references>
      </pivotArea>
    </chartFormat>
    <chartFormat chart="0" format="1" series="1">
      <pivotArea type="data" outline="0" fieldPosition="0">
        <references count="3">
          <reference field="4294967294" count="1" selected="0">
            <x v="0"/>
          </reference>
          <reference field="7" count="1" selected="0">
            <x v="1"/>
          </reference>
          <reference field="12" count="1" selected="0">
            <x v="0"/>
          </reference>
        </references>
      </pivotArea>
    </chartFormat>
    <chartFormat chart="0" format="2" series="1">
      <pivotArea type="data" outline="0" fieldPosition="0">
        <references count="3">
          <reference field="4294967294" count="1" selected="0">
            <x v="0"/>
          </reference>
          <reference field="7" count="1" selected="0">
            <x v="17"/>
          </reference>
          <reference field="12" count="1" selected="0">
            <x v="0"/>
          </reference>
        </references>
      </pivotArea>
    </chartFormat>
    <chartFormat chart="0" format="3" series="1">
      <pivotArea type="data" outline="0" fieldPosition="0">
        <references count="3">
          <reference field="4294967294" count="1" selected="0">
            <x v="0"/>
          </reference>
          <reference field="7" count="1" selected="0">
            <x v="18"/>
          </reference>
          <reference field="12" count="1" selected="0">
            <x v="0"/>
          </reference>
        </references>
      </pivotArea>
    </chartFormat>
    <chartFormat chart="0" format="4" series="1">
      <pivotArea type="data" outline="0" fieldPosition="0">
        <references count="3">
          <reference field="4294967294" count="1" selected="0">
            <x v="0"/>
          </reference>
          <reference field="7" count="1" selected="0">
            <x v="24"/>
          </reference>
          <reference field="12" count="1" selected="0">
            <x v="0"/>
          </reference>
        </references>
      </pivotArea>
    </chartFormat>
    <chartFormat chart="0" format="5" series="1">
      <pivotArea type="data" outline="0" fieldPosition="0">
        <references count="3">
          <reference field="4294967294" count="1" selected="0">
            <x v="0"/>
          </reference>
          <reference field="7" count="1" selected="0">
            <x v="25"/>
          </reference>
          <reference field="12" count="1" selected="0">
            <x v="0"/>
          </reference>
        </references>
      </pivotArea>
    </chartFormat>
    <chartFormat chart="0" format="6" series="1">
      <pivotArea type="data" outline="0" fieldPosition="0">
        <references count="3">
          <reference field="4294967294" count="1" selected="0">
            <x v="0"/>
          </reference>
          <reference field="7" count="1" selected="0">
            <x v="26"/>
          </reference>
          <reference field="12" count="1" selected="0">
            <x v="0"/>
          </reference>
        </references>
      </pivotArea>
    </chartFormat>
    <chartFormat chart="0" format="7" series="1">
      <pivotArea type="data" outline="0" fieldPosition="0">
        <references count="3">
          <reference field="4294967294" count="1" selected="0">
            <x v="0"/>
          </reference>
          <reference field="7" count="1" selected="0">
            <x v="27"/>
          </reference>
          <reference field="12" count="1" selected="0">
            <x v="0"/>
          </reference>
        </references>
      </pivotArea>
    </chartFormat>
    <chartFormat chart="0" format="8" series="1">
      <pivotArea type="data" outline="0" fieldPosition="0">
        <references count="3">
          <reference field="4294967294" count="1" selected="0">
            <x v="0"/>
          </reference>
          <reference field="7" count="1" selected="0">
            <x v="2"/>
          </reference>
          <reference field="12" count="1" selected="0">
            <x v="1"/>
          </reference>
        </references>
      </pivotArea>
    </chartFormat>
    <chartFormat chart="0" format="9" series="1">
      <pivotArea type="data" outline="0" fieldPosition="0">
        <references count="3">
          <reference field="4294967294" count="1" selected="0">
            <x v="0"/>
          </reference>
          <reference field="7" count="1" selected="0">
            <x v="3"/>
          </reference>
          <reference field="12" count="1" selected="0">
            <x v="1"/>
          </reference>
        </references>
      </pivotArea>
    </chartFormat>
    <chartFormat chart="0" format="10" series="1">
      <pivotArea type="data" outline="0" fieldPosition="0">
        <references count="3">
          <reference field="4294967294" count="1" selected="0">
            <x v="0"/>
          </reference>
          <reference field="7" count="1" selected="0">
            <x v="5"/>
          </reference>
          <reference field="12" count="1" selected="0">
            <x v="1"/>
          </reference>
        </references>
      </pivotArea>
    </chartFormat>
    <chartFormat chart="0" format="11" series="1">
      <pivotArea type="data" outline="0" fieldPosition="0">
        <references count="3">
          <reference field="4294967294" count="1" selected="0">
            <x v="0"/>
          </reference>
          <reference field="7" count="1" selected="0">
            <x v="6"/>
          </reference>
          <reference field="12" count="1" selected="0">
            <x v="1"/>
          </reference>
        </references>
      </pivotArea>
    </chartFormat>
    <chartFormat chart="0" format="12" series="1">
      <pivotArea type="data" outline="0" fieldPosition="0">
        <references count="3">
          <reference field="4294967294" count="1" selected="0">
            <x v="0"/>
          </reference>
          <reference field="7" count="1" selected="0">
            <x v="8"/>
          </reference>
          <reference field="12" count="1" selected="0">
            <x v="1"/>
          </reference>
        </references>
      </pivotArea>
    </chartFormat>
    <chartFormat chart="0" format="13" series="1">
      <pivotArea type="data" outline="0" fieldPosition="0">
        <references count="3">
          <reference field="4294967294" count="1" selected="0">
            <x v="0"/>
          </reference>
          <reference field="7" count="1" selected="0">
            <x v="9"/>
          </reference>
          <reference field="12" count="1" selected="0">
            <x v="1"/>
          </reference>
        </references>
      </pivotArea>
    </chartFormat>
    <chartFormat chart="0" format="14" series="1">
      <pivotArea type="data" outline="0" fieldPosition="0">
        <references count="3">
          <reference field="4294967294" count="1" selected="0">
            <x v="0"/>
          </reference>
          <reference field="7" count="1" selected="0">
            <x v="10"/>
          </reference>
          <reference field="12" count="1" selected="0">
            <x v="1"/>
          </reference>
        </references>
      </pivotArea>
    </chartFormat>
    <chartFormat chart="0" format="15" series="1">
      <pivotArea type="data" outline="0" fieldPosition="0">
        <references count="3">
          <reference field="4294967294" count="1" selected="0">
            <x v="0"/>
          </reference>
          <reference field="7" count="1" selected="0">
            <x v="11"/>
          </reference>
          <reference field="12" count="1" selected="0">
            <x v="1"/>
          </reference>
        </references>
      </pivotArea>
    </chartFormat>
    <chartFormat chart="0" format="16" series="1">
      <pivotArea type="data" outline="0" fieldPosition="0">
        <references count="3">
          <reference field="4294967294" count="1" selected="0">
            <x v="0"/>
          </reference>
          <reference field="7" count="1" selected="0">
            <x v="12"/>
          </reference>
          <reference field="12" count="1" selected="0">
            <x v="1"/>
          </reference>
        </references>
      </pivotArea>
    </chartFormat>
    <chartFormat chart="0" format="17" series="1">
      <pivotArea type="data" outline="0" fieldPosition="0">
        <references count="3">
          <reference field="4294967294" count="1" selected="0">
            <x v="0"/>
          </reference>
          <reference field="7" count="1" selected="0">
            <x v="19"/>
          </reference>
          <reference field="12" count="1" selected="0">
            <x v="1"/>
          </reference>
        </references>
      </pivotArea>
    </chartFormat>
    <chartFormat chart="0" format="18" series="1">
      <pivotArea type="data" outline="0" fieldPosition="0">
        <references count="3">
          <reference field="4294967294" count="1" selected="0">
            <x v="0"/>
          </reference>
          <reference field="7" count="1" selected="0">
            <x v="20"/>
          </reference>
          <reference field="12" count="1" selected="0">
            <x v="1"/>
          </reference>
        </references>
      </pivotArea>
    </chartFormat>
    <chartFormat chart="0" format="19" series="1">
      <pivotArea type="data" outline="0" fieldPosition="0">
        <references count="3">
          <reference field="4294967294" count="1" selected="0">
            <x v="0"/>
          </reference>
          <reference field="7" count="1" selected="0">
            <x v="22"/>
          </reference>
          <reference field="12" count="1" selected="0">
            <x v="1"/>
          </reference>
        </references>
      </pivotArea>
    </chartFormat>
    <chartFormat chart="0" format="20" series="1">
      <pivotArea type="data" outline="0" fieldPosition="0">
        <references count="3">
          <reference field="4294967294" count="1" selected="0">
            <x v="0"/>
          </reference>
          <reference field="7" count="1" selected="0">
            <x v="23"/>
          </reference>
          <reference field="12" count="1" selected="0">
            <x v="1"/>
          </reference>
        </references>
      </pivotArea>
    </chartFormat>
    <chartFormat chart="0" format="21" series="1">
      <pivotArea type="data" outline="0" fieldPosition="0">
        <references count="3">
          <reference field="4294967294" count="1" selected="0">
            <x v="0"/>
          </reference>
          <reference field="7" count="1" selected="0">
            <x v="4"/>
          </reference>
          <reference field="12" count="1" selected="0">
            <x v="2"/>
          </reference>
        </references>
      </pivotArea>
    </chartFormat>
    <chartFormat chart="0" format="22" series="1">
      <pivotArea type="data" outline="0" fieldPosition="0">
        <references count="3">
          <reference field="4294967294" count="1" selected="0">
            <x v="0"/>
          </reference>
          <reference field="7" count="1" selected="0">
            <x v="7"/>
          </reference>
          <reference field="12" count="1" selected="0">
            <x v="2"/>
          </reference>
        </references>
      </pivotArea>
    </chartFormat>
    <chartFormat chart="0" format="23" series="1">
      <pivotArea type="data" outline="0" fieldPosition="0">
        <references count="3">
          <reference field="4294967294" count="1" selected="0">
            <x v="0"/>
          </reference>
          <reference field="7" count="1" selected="0">
            <x v="13"/>
          </reference>
          <reference field="12" count="1" selected="0">
            <x v="2"/>
          </reference>
        </references>
      </pivotArea>
    </chartFormat>
    <chartFormat chart="0" format="24" series="1">
      <pivotArea type="data" outline="0" fieldPosition="0">
        <references count="3">
          <reference field="4294967294" count="1" selected="0">
            <x v="0"/>
          </reference>
          <reference field="7" count="1" selected="0">
            <x v="16"/>
          </reference>
          <reference field="12" count="1" selected="0">
            <x v="2"/>
          </reference>
        </references>
      </pivotArea>
    </chartFormat>
    <chartFormat chart="0" format="25" series="1">
      <pivotArea type="data" outline="0" fieldPosition="0">
        <references count="3">
          <reference field="4294967294" count="1" selected="0">
            <x v="0"/>
          </reference>
          <reference field="7" count="1" selected="0">
            <x v="14"/>
          </reference>
          <reference field="12" count="1" selected="0">
            <x v="3"/>
          </reference>
        </references>
      </pivotArea>
    </chartFormat>
    <chartFormat chart="0" format="26" series="1">
      <pivotArea type="data" outline="0" fieldPosition="0">
        <references count="3">
          <reference field="4294967294" count="1" selected="0">
            <x v="0"/>
          </reference>
          <reference field="7" count="1" selected="0">
            <x v="15"/>
          </reference>
          <reference field="12" count="1" selected="0">
            <x v="4"/>
          </reference>
        </references>
      </pivotArea>
    </chartFormat>
    <chartFormat chart="0" format="27" series="1">
      <pivotArea type="data" outline="0" fieldPosition="0">
        <references count="3">
          <reference field="4294967294" count="1" selected="0">
            <x v="0"/>
          </reference>
          <reference field="7" count="1" selected="0">
            <x v="21"/>
          </reference>
          <reference field="12" count="1" selected="0">
            <x v="5"/>
          </reference>
        </references>
      </pivotArea>
    </chartFormat>
    <chartFormat chart="5" format="32" series="1">
      <pivotArea type="data" outline="0" fieldPosition="0">
        <references count="3">
          <reference field="4294967294" count="1" selected="0">
            <x v="0"/>
          </reference>
          <reference field="7" count="1" selected="0">
            <x v="2"/>
          </reference>
          <reference field="12" count="1" selected="0">
            <x v="1"/>
          </reference>
        </references>
      </pivotArea>
    </chartFormat>
    <chartFormat chart="5" format="33" series="1">
      <pivotArea type="data" outline="0" fieldPosition="0">
        <references count="3">
          <reference field="4294967294" count="1" selected="0">
            <x v="0"/>
          </reference>
          <reference field="7" count="1" selected="0">
            <x v="3"/>
          </reference>
          <reference field="12" count="1" selected="0">
            <x v="1"/>
          </reference>
        </references>
      </pivotArea>
    </chartFormat>
    <chartFormat chart="5" format="34" series="1">
      <pivotArea type="data" outline="0" fieldPosition="0">
        <references count="3">
          <reference field="4294967294" count="1" selected="0">
            <x v="0"/>
          </reference>
          <reference field="7" count="1" selected="0">
            <x v="19"/>
          </reference>
          <reference field="12" count="1" selected="0">
            <x v="1"/>
          </reference>
        </references>
      </pivotArea>
    </chartFormat>
    <chartFormat chart="5" format="35" series="1">
      <pivotArea type="data" outline="0" fieldPosition="0">
        <references count="3">
          <reference field="4294967294" count="1" selected="0">
            <x v="0"/>
          </reference>
          <reference field="7" count="1" selected="0">
            <x v="20"/>
          </reference>
          <reference field="12" count="1" selected="0">
            <x v="1"/>
          </reference>
        </references>
      </pivotArea>
    </chartFormat>
    <chartFormat chart="5" format="36" series="1">
      <pivotArea type="data" outline="0" fieldPosition="0">
        <references count="3">
          <reference field="4294967294" count="1" selected="0">
            <x v="0"/>
          </reference>
          <reference field="7" count="1" selected="0">
            <x v="8"/>
          </reference>
          <reference field="12" count="1" selected="0">
            <x v="1"/>
          </reference>
        </references>
      </pivotArea>
    </chartFormat>
    <chartFormat chart="5" format="37" series="1">
      <pivotArea type="data" outline="0" fieldPosition="0">
        <references count="3">
          <reference field="4294967294" count="1" selected="0">
            <x v="0"/>
          </reference>
          <reference field="7" count="1" selected="0">
            <x v="9"/>
          </reference>
          <reference field="12" count="1" selected="0">
            <x v="1"/>
          </reference>
        </references>
      </pivotArea>
    </chartFormat>
    <chartFormat chart="5" format="38" series="1">
      <pivotArea type="data" outline="0" fieldPosition="0">
        <references count="3">
          <reference field="4294967294" count="1" selected="0">
            <x v="0"/>
          </reference>
          <reference field="7" count="1" selected="0">
            <x v="10"/>
          </reference>
          <reference field="12" count="1" selected="0">
            <x v="1"/>
          </reference>
        </references>
      </pivotArea>
    </chartFormat>
    <chartFormat chart="5" format="39" series="1">
      <pivotArea type="data" outline="0" fieldPosition="0">
        <references count="3">
          <reference field="4294967294" count="1" selected="0">
            <x v="0"/>
          </reference>
          <reference field="7" count="1" selected="0">
            <x v="11"/>
          </reference>
          <reference field="12" count="1" selected="0">
            <x v="1"/>
          </reference>
        </references>
      </pivotArea>
    </chartFormat>
    <chartFormat chart="5" format="40" series="1">
      <pivotArea type="data" outline="0" fieldPosition="0">
        <references count="3">
          <reference field="4294967294" count="1" selected="0">
            <x v="0"/>
          </reference>
          <reference field="7" count="1" selected="0">
            <x v="22"/>
          </reference>
          <reference field="12" count="1" selected="0">
            <x v="1"/>
          </reference>
        </references>
      </pivotArea>
    </chartFormat>
    <chartFormat chart="5" format="41" series="1">
      <pivotArea type="data" outline="0" fieldPosition="0">
        <references count="3">
          <reference field="4294967294" count="1" selected="0">
            <x v="0"/>
          </reference>
          <reference field="7" count="1" selected="0">
            <x v="23"/>
          </reference>
          <reference field="12" count="1" selected="0">
            <x v="1"/>
          </reference>
        </references>
      </pivotArea>
    </chartFormat>
    <chartFormat chart="5" format="42" series="1">
      <pivotArea type="data" outline="0" fieldPosition="0">
        <references count="3">
          <reference field="4294967294" count="1" selected="0">
            <x v="0"/>
          </reference>
          <reference field="7" count="1" selected="0">
            <x v="15"/>
          </reference>
          <reference field="12" count="1" selected="0">
            <x v="4"/>
          </reference>
        </references>
      </pivotArea>
    </chartFormat>
    <chartFormat chart="5" format="43" series="1">
      <pivotArea type="data" outline="0" fieldPosition="0">
        <references count="3">
          <reference field="4294967294" count="1" selected="0">
            <x v="0"/>
          </reference>
          <reference field="7" count="1" selected="0">
            <x v="5"/>
          </reference>
          <reference field="12" count="1" selected="0">
            <x v="1"/>
          </reference>
        </references>
      </pivotArea>
    </chartFormat>
    <chartFormat chart="5" format="44" series="1">
      <pivotArea type="data" outline="0" fieldPosition="0">
        <references count="3">
          <reference field="4294967294" count="1" selected="0">
            <x v="0"/>
          </reference>
          <reference field="7" count="1" selected="0">
            <x v="6"/>
          </reference>
          <reference field="12" count="1" selected="0">
            <x v="1"/>
          </reference>
        </references>
      </pivotArea>
    </chartFormat>
    <chartFormat chart="5" format="45" series="1">
      <pivotArea type="data" outline="0" fieldPosition="0">
        <references count="3">
          <reference field="4294967294" count="1" selected="0">
            <x v="0"/>
          </reference>
          <reference field="7" count="1" selected="0">
            <x v="12"/>
          </reference>
          <reference field="12" count="1" selected="0">
            <x v="1"/>
          </reference>
        </references>
      </pivotArea>
    </chartFormat>
    <chartFormat chart="5" format="46" series="1">
      <pivotArea type="data" outline="0" fieldPosition="0">
        <references count="3">
          <reference field="4294967294" count="1" selected="0">
            <x v="0"/>
          </reference>
          <reference field="7" count="1" selected="0">
            <x v="21"/>
          </reference>
          <reference field="12" count="1" selected="0">
            <x v="5"/>
          </reference>
        </references>
      </pivotArea>
    </chartFormat>
    <chartFormat chart="5" format="47" series="1">
      <pivotArea type="data" outline="0" fieldPosition="0">
        <references count="3">
          <reference field="4294967294" count="1" selected="0">
            <x v="0"/>
          </reference>
          <reference field="7" count="1" selected="0">
            <x v="4"/>
          </reference>
          <reference field="12" count="1" selected="0">
            <x v="2"/>
          </reference>
        </references>
      </pivotArea>
    </chartFormat>
    <chartFormat chart="5" format="48" series="1">
      <pivotArea type="data" outline="0" fieldPosition="0">
        <references count="3">
          <reference field="4294967294" count="1" selected="0">
            <x v="0"/>
          </reference>
          <reference field="7" count="1" selected="0">
            <x v="7"/>
          </reference>
          <reference field="12" count="1" selected="0">
            <x v="2"/>
          </reference>
        </references>
      </pivotArea>
    </chartFormat>
    <chartFormat chart="5" format="49" series="1">
      <pivotArea type="data" outline="0" fieldPosition="0">
        <references count="3">
          <reference field="4294967294" count="1" selected="0">
            <x v="0"/>
          </reference>
          <reference field="7" count="1" selected="0">
            <x v="13"/>
          </reference>
          <reference field="12" count="1" selected="0">
            <x v="2"/>
          </reference>
        </references>
      </pivotArea>
    </chartFormat>
    <chartFormat chart="5" format="50" series="1">
      <pivotArea type="data" outline="0" fieldPosition="0">
        <references count="1">
          <reference field="4294967294" count="1" selected="0">
            <x v="0"/>
          </reference>
        </references>
      </pivotArea>
    </chartFormat>
    <chartFormat chart="0" format="28" series="1">
      <pivotArea type="data" outline="0" fieldPosition="0">
        <references count="1">
          <reference field="4294967294" count="1" selected="0">
            <x v="0"/>
          </reference>
        </references>
      </pivotArea>
    </chartFormat>
    <chartFormat chart="5" format="51" series="1">
      <pivotArea type="data" outline="0" fieldPosition="0">
        <references count="3">
          <reference field="4294967294" count="1" selected="0">
            <x v="0"/>
          </reference>
          <reference field="7" count="1" selected="0">
            <x v="1"/>
          </reference>
          <reference field="12" count="1" selected="0">
            <x v="0"/>
          </reference>
        </references>
      </pivotArea>
    </chartFormat>
    <chartFormat chart="5" format="52" series="1">
      <pivotArea type="data" outline="0" fieldPosition="0">
        <references count="3">
          <reference field="4294967294" count="1" selected="0">
            <x v="0"/>
          </reference>
          <reference field="7" count="1" selected="0">
            <x v="17"/>
          </reference>
          <reference field="12" count="1" selected="0">
            <x v="0"/>
          </reference>
        </references>
      </pivotArea>
    </chartFormat>
    <chartFormat chart="5" format="53" series="1">
      <pivotArea type="data" outline="0" fieldPosition="0">
        <references count="3">
          <reference field="4294967294" count="1" selected="0">
            <x v="0"/>
          </reference>
          <reference field="7" count="1" selected="0">
            <x v="18"/>
          </reference>
          <reference field="12" count="1" selected="0">
            <x v="0"/>
          </reference>
        </references>
      </pivotArea>
    </chartFormat>
    <chartFormat chart="5" format="54" series="1">
      <pivotArea type="data" outline="0" fieldPosition="0">
        <references count="3">
          <reference field="4294967294" count="1" selected="0">
            <x v="0"/>
          </reference>
          <reference field="7" count="1" selected="0">
            <x v="24"/>
          </reference>
          <reference field="12" count="1" selected="0">
            <x v="0"/>
          </reference>
        </references>
      </pivotArea>
    </chartFormat>
    <chartFormat chart="5" format="55" series="1">
      <pivotArea type="data" outline="0" fieldPosition="0">
        <references count="3">
          <reference field="4294967294" count="1" selected="0">
            <x v="0"/>
          </reference>
          <reference field="7" count="1" selected="0">
            <x v="25"/>
          </reference>
          <reference field="12" count="1" selected="0">
            <x v="0"/>
          </reference>
        </references>
      </pivotArea>
    </chartFormat>
    <chartFormat chart="5" format="56" series="1">
      <pivotArea type="data" outline="0" fieldPosition="0">
        <references count="3">
          <reference field="4294967294" count="1" selected="0">
            <x v="0"/>
          </reference>
          <reference field="7" count="1" selected="0">
            <x v="26"/>
          </reference>
          <reference field="12" count="1" selected="0">
            <x v="0"/>
          </reference>
        </references>
      </pivotArea>
    </chartFormat>
    <chartFormat chart="5" format="57" series="1">
      <pivotArea type="data" outline="0" fieldPosition="0">
        <references count="3">
          <reference field="4294967294" count="1" selected="0">
            <x v="0"/>
          </reference>
          <reference field="7" count="1" selected="0">
            <x v="27"/>
          </reference>
          <reference field="12" count="1" selected="0">
            <x v="0"/>
          </reference>
        </references>
      </pivotArea>
    </chartFormat>
    <chartFormat chart="5" format="58" series="1">
      <pivotArea type="data" outline="0" fieldPosition="0">
        <references count="3">
          <reference field="4294967294" count="1" selected="0">
            <x v="0"/>
          </reference>
          <reference field="7" count="1" selected="0">
            <x v="14"/>
          </reference>
          <reference field="12" count="1" selected="0">
            <x v="3"/>
          </reference>
        </references>
      </pivotArea>
    </chartFormat>
    <chartFormat chart="0" format="29" series="1">
      <pivotArea type="data" outline="0" fieldPosition="0">
        <references count="2">
          <reference field="4294967294" count="1" selected="0">
            <x v="0"/>
          </reference>
          <reference field="0" count="1" selected="0">
            <x v="2"/>
          </reference>
        </references>
      </pivotArea>
    </chartFormat>
    <chartFormat chart="0" format="30" series="1">
      <pivotArea type="data" outline="0" fieldPosition="0">
        <references count="2">
          <reference field="4294967294" count="1" selected="0">
            <x v="0"/>
          </reference>
          <reference field="0" count="1" selected="0">
            <x v="3"/>
          </reference>
        </references>
      </pivotArea>
    </chartFormat>
    <chartFormat chart="0" format="31" series="1">
      <pivotArea type="data" outline="0" fieldPosition="0">
        <references count="2">
          <reference field="4294967294" count="1" selected="0">
            <x v="0"/>
          </reference>
          <reference field="0" count="1" selected="0">
            <x v="4"/>
          </reference>
        </references>
      </pivotArea>
    </chartFormat>
    <chartFormat chart="0" format="32" series="1">
      <pivotArea type="data" outline="0" fieldPosition="0">
        <references count="2">
          <reference field="4294967294" count="1" selected="0">
            <x v="0"/>
          </reference>
          <reference field="0" count="1" selected="0">
            <x v="5"/>
          </reference>
        </references>
      </pivotArea>
    </chartFormat>
    <chartFormat chart="0" format="33" series="1">
      <pivotArea type="data" outline="0" fieldPosition="0">
        <references count="2">
          <reference field="4294967294" count="1" selected="0">
            <x v="0"/>
          </reference>
          <reference field="0" count="1" selected="0">
            <x v="6"/>
          </reference>
        </references>
      </pivotArea>
    </chartFormat>
    <chartFormat chart="0" format="34" series="1">
      <pivotArea type="data" outline="0" fieldPosition="0">
        <references count="2">
          <reference field="4294967294" count="1" selected="0">
            <x v="0"/>
          </reference>
          <reference field="0" count="1" selected="0">
            <x v="7"/>
          </reference>
        </references>
      </pivotArea>
    </chartFormat>
    <chartFormat chart="0" format="35" series="1">
      <pivotArea type="data" outline="0" fieldPosition="0">
        <references count="2">
          <reference field="4294967294" count="1" selected="0">
            <x v="0"/>
          </reference>
          <reference field="0" count="1" selected="0">
            <x v="8"/>
          </reference>
        </references>
      </pivotArea>
    </chartFormat>
    <chartFormat chart="0" format="36" series="1">
      <pivotArea type="data" outline="0" fieldPosition="0">
        <references count="2">
          <reference field="4294967294" count="1" selected="0">
            <x v="0"/>
          </reference>
          <reference field="0" count="1" selected="0">
            <x v="10"/>
          </reference>
        </references>
      </pivotArea>
    </chartFormat>
    <chartFormat chart="0" format="37" series="1">
      <pivotArea type="data" outline="0" fieldPosition="0">
        <references count="2">
          <reference field="4294967294" count="1" selected="0">
            <x v="0"/>
          </reference>
          <reference field="0" count="1" selected="0">
            <x v="11"/>
          </reference>
        </references>
      </pivotArea>
    </chartFormat>
    <chartFormat chart="0" format="38" series="1">
      <pivotArea type="data" outline="0" fieldPosition="0">
        <references count="2">
          <reference field="4294967294" count="1" selected="0">
            <x v="0"/>
          </reference>
          <reference field="0" count="1" selected="0">
            <x v="12"/>
          </reference>
        </references>
      </pivotArea>
    </chartFormat>
    <chartFormat chart="0" format="39" series="1">
      <pivotArea type="data" outline="0" fieldPosition="0">
        <references count="2">
          <reference field="4294967294" count="1" selected="0">
            <x v="0"/>
          </reference>
          <reference field="0" count="1" selected="0">
            <x v="13"/>
          </reference>
        </references>
      </pivotArea>
    </chartFormat>
    <chartFormat chart="0" format="40" series="1">
      <pivotArea type="data" outline="0" fieldPosition="0">
        <references count="2">
          <reference field="4294967294" count="1" selected="0">
            <x v="0"/>
          </reference>
          <reference field="0" count="1" selected="0">
            <x v="14"/>
          </reference>
        </references>
      </pivotArea>
    </chartFormat>
    <chartFormat chart="0" format="41" series="1">
      <pivotArea type="data" outline="0" fieldPosition="0">
        <references count="2">
          <reference field="4294967294" count="1" selected="0">
            <x v="0"/>
          </reference>
          <reference field="0" count="1" selected="0">
            <x v="15"/>
          </reference>
        </references>
      </pivotArea>
    </chartFormat>
    <chartFormat chart="0" format="42" series="1">
      <pivotArea type="data" outline="0" fieldPosition="0">
        <references count="2">
          <reference field="4294967294" count="1" selected="0">
            <x v="0"/>
          </reference>
          <reference field="0" count="1" selected="0">
            <x v="16"/>
          </reference>
        </references>
      </pivotArea>
    </chartFormat>
    <chartFormat chart="0" format="43" series="1">
      <pivotArea type="data" outline="0" fieldPosition="0">
        <references count="2">
          <reference field="4294967294" count="1" selected="0">
            <x v="0"/>
          </reference>
          <reference field="0" count="1" selected="0">
            <x v="17"/>
          </reference>
        </references>
      </pivotArea>
    </chartFormat>
    <chartFormat chart="0" format="44" series="1">
      <pivotArea type="data" outline="0" fieldPosition="0">
        <references count="2">
          <reference field="4294967294" count="1" selected="0">
            <x v="0"/>
          </reference>
          <reference field="0" count="1" selected="0">
            <x v="18"/>
          </reference>
        </references>
      </pivotArea>
    </chartFormat>
    <chartFormat chart="0" format="45" series="1">
      <pivotArea type="data" outline="0" fieldPosition="0">
        <references count="2">
          <reference field="4294967294" count="1" selected="0">
            <x v="0"/>
          </reference>
          <reference field="0" count="1" selected="0">
            <x v="19"/>
          </reference>
        </references>
      </pivotArea>
    </chartFormat>
    <chartFormat chart="5" format="59" series="1">
      <pivotArea type="data" outline="0" fieldPosition="0">
        <references count="2">
          <reference field="4294967294" count="1" selected="0">
            <x v="0"/>
          </reference>
          <reference field="0" count="1" selected="0">
            <x v="2"/>
          </reference>
        </references>
      </pivotArea>
    </chartFormat>
    <chartFormat chart="5" format="60" series="1">
      <pivotArea type="data" outline="0" fieldPosition="0">
        <references count="2">
          <reference field="4294967294" count="1" selected="0">
            <x v="0"/>
          </reference>
          <reference field="0" count="1" selected="0">
            <x v="3"/>
          </reference>
        </references>
      </pivotArea>
    </chartFormat>
    <chartFormat chart="5" format="61" series="1">
      <pivotArea type="data" outline="0" fieldPosition="0">
        <references count="2">
          <reference field="4294967294" count="1" selected="0">
            <x v="0"/>
          </reference>
          <reference field="0" count="1" selected="0">
            <x v="4"/>
          </reference>
        </references>
      </pivotArea>
    </chartFormat>
    <chartFormat chart="5" format="62" series="1">
      <pivotArea type="data" outline="0" fieldPosition="0">
        <references count="2">
          <reference field="4294967294" count="1" selected="0">
            <x v="0"/>
          </reference>
          <reference field="0" count="1" selected="0">
            <x v="5"/>
          </reference>
        </references>
      </pivotArea>
    </chartFormat>
    <chartFormat chart="5" format="63" series="1">
      <pivotArea type="data" outline="0" fieldPosition="0">
        <references count="2">
          <reference field="4294967294" count="1" selected="0">
            <x v="0"/>
          </reference>
          <reference field="0" count="1" selected="0">
            <x v="6"/>
          </reference>
        </references>
      </pivotArea>
    </chartFormat>
    <chartFormat chart="5" format="64" series="1">
      <pivotArea type="data" outline="0" fieldPosition="0">
        <references count="2">
          <reference field="4294967294" count="1" selected="0">
            <x v="0"/>
          </reference>
          <reference field="0" count="1" selected="0">
            <x v="7"/>
          </reference>
        </references>
      </pivotArea>
    </chartFormat>
    <chartFormat chart="5" format="65" series="1">
      <pivotArea type="data" outline="0" fieldPosition="0">
        <references count="2">
          <reference field="4294967294" count="1" selected="0">
            <x v="0"/>
          </reference>
          <reference field="0" count="1" selected="0">
            <x v="8"/>
          </reference>
        </references>
      </pivotArea>
    </chartFormat>
    <chartFormat chart="5" format="66" series="1">
      <pivotArea type="data" outline="0" fieldPosition="0">
        <references count="2">
          <reference field="4294967294" count="1" selected="0">
            <x v="0"/>
          </reference>
          <reference field="0" count="1" selected="0">
            <x v="10"/>
          </reference>
        </references>
      </pivotArea>
    </chartFormat>
    <chartFormat chart="5" format="67" series="1">
      <pivotArea type="data" outline="0" fieldPosition="0">
        <references count="2">
          <reference field="4294967294" count="1" selected="0">
            <x v="0"/>
          </reference>
          <reference field="0" count="1" selected="0">
            <x v="11"/>
          </reference>
        </references>
      </pivotArea>
    </chartFormat>
    <chartFormat chart="5" format="68" series="1">
      <pivotArea type="data" outline="0" fieldPosition="0">
        <references count="2">
          <reference field="4294967294" count="1" selected="0">
            <x v="0"/>
          </reference>
          <reference field="0" count="1" selected="0">
            <x v="12"/>
          </reference>
        </references>
      </pivotArea>
    </chartFormat>
    <chartFormat chart="5" format="69" series="1">
      <pivotArea type="data" outline="0" fieldPosition="0">
        <references count="2">
          <reference field="4294967294" count="1" selected="0">
            <x v="0"/>
          </reference>
          <reference field="0" count="1" selected="0">
            <x v="13"/>
          </reference>
        </references>
      </pivotArea>
    </chartFormat>
    <chartFormat chart="5" format="70" series="1">
      <pivotArea type="data" outline="0" fieldPosition="0">
        <references count="2">
          <reference field="4294967294" count="1" selected="0">
            <x v="0"/>
          </reference>
          <reference field="0" count="1" selected="0">
            <x v="14"/>
          </reference>
        </references>
      </pivotArea>
    </chartFormat>
    <chartFormat chart="5" format="71" series="1">
      <pivotArea type="data" outline="0" fieldPosition="0">
        <references count="2">
          <reference field="4294967294" count="1" selected="0">
            <x v="0"/>
          </reference>
          <reference field="0" count="1" selected="0">
            <x v="15"/>
          </reference>
        </references>
      </pivotArea>
    </chartFormat>
    <chartFormat chart="5" format="72" series="1">
      <pivotArea type="data" outline="0" fieldPosition="0">
        <references count="2">
          <reference field="4294967294" count="1" selected="0">
            <x v="0"/>
          </reference>
          <reference field="0" count="1" selected="0">
            <x v="16"/>
          </reference>
        </references>
      </pivotArea>
    </chartFormat>
    <chartFormat chart="5" format="73" series="1">
      <pivotArea type="data" outline="0" fieldPosition="0">
        <references count="2">
          <reference field="4294967294" count="1" selected="0">
            <x v="0"/>
          </reference>
          <reference field="0" count="1" selected="0">
            <x v="17"/>
          </reference>
        </references>
      </pivotArea>
    </chartFormat>
    <chartFormat chart="5" format="74" series="1">
      <pivotArea type="data" outline="0" fieldPosition="0">
        <references count="2">
          <reference field="4294967294" count="1" selected="0">
            <x v="0"/>
          </reference>
          <reference field="0" count="1" selected="0">
            <x v="18"/>
          </reference>
        </references>
      </pivotArea>
    </chartFormat>
    <chartFormat chart="5" format="75" series="1">
      <pivotArea type="data" outline="0" fieldPosition="0">
        <references count="2">
          <reference field="4294967294" count="1" selected="0">
            <x v="0"/>
          </reference>
          <reference field="0" count="1" selected="0">
            <x v="19"/>
          </reference>
        </references>
      </pivotArea>
    </chartFormat>
    <chartFormat chart="0" format="46" series="1">
      <pivotArea type="data" outline="0" fieldPosition="0">
        <references count="3">
          <reference field="4294967294" count="1" selected="0">
            <x v="0"/>
          </reference>
          <reference field="0" count="1" selected="0">
            <x v="4"/>
          </reference>
          <reference field="7" count="1" selected="0">
            <x v="5"/>
          </reference>
        </references>
      </pivotArea>
    </chartFormat>
    <chartFormat chart="0" format="47" series="1">
      <pivotArea type="data" outline="0" fieldPosition="0">
        <references count="3">
          <reference field="4294967294" count="1" selected="0">
            <x v="0"/>
          </reference>
          <reference field="0" count="1" selected="0">
            <x v="4"/>
          </reference>
          <reference field="7" count="1" selected="0">
            <x v="6"/>
          </reference>
        </references>
      </pivotArea>
    </chartFormat>
    <chartFormat chart="0" format="48" series="1">
      <pivotArea type="data" outline="0" fieldPosition="0">
        <references count="3">
          <reference field="4294967294" count="1" selected="0">
            <x v="0"/>
          </reference>
          <reference field="0" count="1" selected="0">
            <x v="4"/>
          </reference>
          <reference field="7" count="1" selected="0">
            <x v="8"/>
          </reference>
        </references>
      </pivotArea>
    </chartFormat>
    <chartFormat chart="0" format="49" series="1">
      <pivotArea type="data" outline="0" fieldPosition="0">
        <references count="3">
          <reference field="4294967294" count="1" selected="0">
            <x v="0"/>
          </reference>
          <reference field="0" count="1" selected="0">
            <x v="4"/>
          </reference>
          <reference field="7" count="1" selected="0">
            <x v="11"/>
          </reference>
        </references>
      </pivotArea>
    </chartFormat>
    <chartFormat chart="0" format="50" series="1">
      <pivotArea type="data" outline="0" fieldPosition="0">
        <references count="3">
          <reference field="4294967294" count="1" selected="0">
            <x v="0"/>
          </reference>
          <reference field="0" count="1" selected="0">
            <x v="4"/>
          </reference>
          <reference field="7" count="1" selected="0">
            <x v="15"/>
          </reference>
        </references>
      </pivotArea>
    </chartFormat>
    <chartFormat chart="0" format="51" series="1">
      <pivotArea type="data" outline="0" fieldPosition="0">
        <references count="3">
          <reference field="4294967294" count="1" selected="0">
            <x v="0"/>
          </reference>
          <reference field="0" count="1" selected="0">
            <x v="4"/>
          </reference>
          <reference field="7" count="1" selected="0">
            <x v="19"/>
          </reference>
        </references>
      </pivotArea>
    </chartFormat>
    <chartFormat chart="0" format="52" series="1">
      <pivotArea type="data" outline="0" fieldPosition="0">
        <references count="3">
          <reference field="4294967294" count="1" selected="0">
            <x v="0"/>
          </reference>
          <reference field="0" count="1" selected="0">
            <x v="4"/>
          </reference>
          <reference field="7" count="1" selected="0">
            <x v="20"/>
          </reference>
        </references>
      </pivotArea>
    </chartFormat>
    <chartFormat chart="0" format="53" series="1">
      <pivotArea type="data" outline="0" fieldPosition="0">
        <references count="3">
          <reference field="4294967294" count="1" selected="0">
            <x v="0"/>
          </reference>
          <reference field="0" count="1" selected="0">
            <x v="4"/>
          </reference>
          <reference field="7" count="1" selected="0">
            <x v="22"/>
          </reference>
        </references>
      </pivotArea>
    </chartFormat>
    <chartFormat chart="0" format="54" series="1">
      <pivotArea type="data" outline="0" fieldPosition="0">
        <references count="3">
          <reference field="4294967294" count="1" selected="0">
            <x v="0"/>
          </reference>
          <reference field="0" count="1" selected="0">
            <x v="4"/>
          </reference>
          <reference field="7" count="1" selected="0">
            <x v="23"/>
          </reference>
        </references>
      </pivotArea>
    </chartFormat>
    <chartFormat chart="0" format="55" series="1">
      <pivotArea type="data" outline="0" fieldPosition="0">
        <references count="3">
          <reference field="4294967294" count="1" selected="0">
            <x v="0"/>
          </reference>
          <reference field="0" count="1" selected="0">
            <x v="5"/>
          </reference>
          <reference field="7" count="1" selected="0">
            <x v="2"/>
          </reference>
        </references>
      </pivotArea>
    </chartFormat>
    <chartFormat chart="0" format="56" series="1">
      <pivotArea type="data" outline="0" fieldPosition="0">
        <references count="3">
          <reference field="4294967294" count="1" selected="0">
            <x v="0"/>
          </reference>
          <reference field="0" count="1" selected="0">
            <x v="5"/>
          </reference>
          <reference field="7" count="1" selected="0">
            <x v="3"/>
          </reference>
        </references>
      </pivotArea>
    </chartFormat>
    <chartFormat chart="0" format="57" series="1">
      <pivotArea type="data" outline="0" fieldPosition="0">
        <references count="3">
          <reference field="4294967294" count="1" selected="0">
            <x v="0"/>
          </reference>
          <reference field="0" count="1" selected="0">
            <x v="5"/>
          </reference>
          <reference field="7" count="1" selected="0">
            <x v="5"/>
          </reference>
        </references>
      </pivotArea>
    </chartFormat>
    <chartFormat chart="0" format="58" series="1">
      <pivotArea type="data" outline="0" fieldPosition="0">
        <references count="3">
          <reference field="4294967294" count="1" selected="0">
            <x v="0"/>
          </reference>
          <reference field="0" count="1" selected="0">
            <x v="5"/>
          </reference>
          <reference field="7" count="1" selected="0">
            <x v="6"/>
          </reference>
        </references>
      </pivotArea>
    </chartFormat>
    <chartFormat chart="0" format="59" series="1">
      <pivotArea type="data" outline="0" fieldPosition="0">
        <references count="3">
          <reference field="4294967294" count="1" selected="0">
            <x v="0"/>
          </reference>
          <reference field="0" count="1" selected="0">
            <x v="5"/>
          </reference>
          <reference field="7" count="1" selected="0">
            <x v="15"/>
          </reference>
        </references>
      </pivotArea>
    </chartFormat>
    <chartFormat chart="0" format="60" series="1">
      <pivotArea type="data" outline="0" fieldPosition="0">
        <references count="3">
          <reference field="4294967294" count="1" selected="0">
            <x v="0"/>
          </reference>
          <reference field="0" count="1" selected="0">
            <x v="5"/>
          </reference>
          <reference field="7" count="1" selected="0">
            <x v="19"/>
          </reference>
        </references>
      </pivotArea>
    </chartFormat>
    <chartFormat chart="0" format="61" series="1">
      <pivotArea type="data" outline="0" fieldPosition="0">
        <references count="3">
          <reference field="4294967294" count="1" selected="0">
            <x v="0"/>
          </reference>
          <reference field="0" count="1" selected="0">
            <x v="5"/>
          </reference>
          <reference field="7" count="1" selected="0">
            <x v="20"/>
          </reference>
        </references>
      </pivotArea>
    </chartFormat>
    <chartFormat chart="0" format="62" series="1">
      <pivotArea type="data" outline="0" fieldPosition="0">
        <references count="3">
          <reference field="4294967294" count="1" selected="0">
            <x v="0"/>
          </reference>
          <reference field="0" count="1" selected="0">
            <x v="5"/>
          </reference>
          <reference field="7" count="1" selected="0">
            <x v="22"/>
          </reference>
        </references>
      </pivotArea>
    </chartFormat>
    <chartFormat chart="0" format="63" series="1">
      <pivotArea type="data" outline="0" fieldPosition="0">
        <references count="3">
          <reference field="4294967294" count="1" selected="0">
            <x v="0"/>
          </reference>
          <reference field="0" count="1" selected="0">
            <x v="5"/>
          </reference>
          <reference field="7" count="1" selected="0">
            <x v="23"/>
          </reference>
        </references>
      </pivotArea>
    </chartFormat>
    <chartFormat chart="0" format="64" series="1">
      <pivotArea type="data" outline="0" fieldPosition="0">
        <references count="3">
          <reference field="4294967294" count="1" selected="0">
            <x v="0"/>
          </reference>
          <reference field="0" count="1" selected="0">
            <x v="6"/>
          </reference>
          <reference field="7" count="1" selected="0">
            <x v="2"/>
          </reference>
        </references>
      </pivotArea>
    </chartFormat>
    <chartFormat chart="0" format="65" series="1">
      <pivotArea type="data" outline="0" fieldPosition="0">
        <references count="3">
          <reference field="4294967294" count="1" selected="0">
            <x v="0"/>
          </reference>
          <reference field="0" count="1" selected="0">
            <x v="6"/>
          </reference>
          <reference field="7" count="1" selected="0">
            <x v="3"/>
          </reference>
        </references>
      </pivotArea>
    </chartFormat>
    <chartFormat chart="0" format="66" series="1">
      <pivotArea type="data" outline="0" fieldPosition="0">
        <references count="3">
          <reference field="4294967294" count="1" selected="0">
            <x v="0"/>
          </reference>
          <reference field="0" count="1" selected="0">
            <x v="6"/>
          </reference>
          <reference field="7" count="1" selected="0">
            <x v="5"/>
          </reference>
        </references>
      </pivotArea>
    </chartFormat>
    <chartFormat chart="0" format="67" series="1">
      <pivotArea type="data" outline="0" fieldPosition="0">
        <references count="3">
          <reference field="4294967294" count="1" selected="0">
            <x v="0"/>
          </reference>
          <reference field="0" count="1" selected="0">
            <x v="6"/>
          </reference>
          <reference field="7" count="1" selected="0">
            <x v="6"/>
          </reference>
        </references>
      </pivotArea>
    </chartFormat>
    <chartFormat chart="0" format="68" series="1">
      <pivotArea type="data" outline="0" fieldPosition="0">
        <references count="3">
          <reference field="4294967294" count="1" selected="0">
            <x v="0"/>
          </reference>
          <reference field="0" count="1" selected="0">
            <x v="6"/>
          </reference>
          <reference field="7" count="1" selected="0">
            <x v="15"/>
          </reference>
        </references>
      </pivotArea>
    </chartFormat>
    <chartFormat chart="0" format="69" series="1">
      <pivotArea type="data" outline="0" fieldPosition="0">
        <references count="3">
          <reference field="4294967294" count="1" selected="0">
            <x v="0"/>
          </reference>
          <reference field="0" count="1" selected="0">
            <x v="6"/>
          </reference>
          <reference field="7" count="1" selected="0">
            <x v="19"/>
          </reference>
        </references>
      </pivotArea>
    </chartFormat>
    <chartFormat chart="0" format="70" series="1">
      <pivotArea type="data" outline="0" fieldPosition="0">
        <references count="3">
          <reference field="4294967294" count="1" selected="0">
            <x v="0"/>
          </reference>
          <reference field="0" count="1" selected="0">
            <x v="6"/>
          </reference>
          <reference field="7" count="1" selected="0">
            <x v="20"/>
          </reference>
        </references>
      </pivotArea>
    </chartFormat>
    <chartFormat chart="0" format="71" series="1">
      <pivotArea type="data" outline="0" fieldPosition="0">
        <references count="3">
          <reference field="4294967294" count="1" selected="0">
            <x v="0"/>
          </reference>
          <reference field="0" count="1" selected="0">
            <x v="6"/>
          </reference>
          <reference field="7" count="1" selected="0">
            <x v="22"/>
          </reference>
        </references>
      </pivotArea>
    </chartFormat>
    <chartFormat chart="0" format="72" series="1">
      <pivotArea type="data" outline="0" fieldPosition="0">
        <references count="3">
          <reference field="4294967294" count="1" selected="0">
            <x v="0"/>
          </reference>
          <reference field="0" count="1" selected="0">
            <x v="6"/>
          </reference>
          <reference field="7" count="1" selected="0">
            <x v="23"/>
          </reference>
        </references>
      </pivotArea>
    </chartFormat>
    <chartFormat chart="0" format="73" series="1">
      <pivotArea type="data" outline="0" fieldPosition="0">
        <references count="3">
          <reference field="4294967294" count="1" selected="0">
            <x v="0"/>
          </reference>
          <reference field="0" count="1" selected="0">
            <x v="7"/>
          </reference>
          <reference field="7" count="1" selected="0">
            <x v="2"/>
          </reference>
        </references>
      </pivotArea>
    </chartFormat>
    <chartFormat chart="0" format="74" series="1">
      <pivotArea type="data" outline="0" fieldPosition="0">
        <references count="3">
          <reference field="4294967294" count="1" selected="0">
            <x v="0"/>
          </reference>
          <reference field="0" count="1" selected="0">
            <x v="7"/>
          </reference>
          <reference field="7" count="1" selected="0">
            <x v="5"/>
          </reference>
        </references>
      </pivotArea>
    </chartFormat>
    <chartFormat chart="0" format="75" series="1">
      <pivotArea type="data" outline="0" fieldPosition="0">
        <references count="3">
          <reference field="4294967294" count="1" selected="0">
            <x v="0"/>
          </reference>
          <reference field="0" count="1" selected="0">
            <x v="7"/>
          </reference>
          <reference field="7" count="1" selected="0">
            <x v="8"/>
          </reference>
        </references>
      </pivotArea>
    </chartFormat>
    <chartFormat chart="0" format="76" series="1">
      <pivotArea type="data" outline="0" fieldPosition="0">
        <references count="3">
          <reference field="4294967294" count="1" selected="0">
            <x v="0"/>
          </reference>
          <reference field="0" count="1" selected="0">
            <x v="7"/>
          </reference>
          <reference field="7" count="1" selected="0">
            <x v="9"/>
          </reference>
        </references>
      </pivotArea>
    </chartFormat>
    <chartFormat chart="0" format="77" series="1">
      <pivotArea type="data" outline="0" fieldPosition="0">
        <references count="3">
          <reference field="4294967294" count="1" selected="0">
            <x v="0"/>
          </reference>
          <reference field="0" count="1" selected="0">
            <x v="7"/>
          </reference>
          <reference field="7" count="1" selected="0">
            <x v="15"/>
          </reference>
        </references>
      </pivotArea>
    </chartFormat>
    <chartFormat chart="0" format="78" series="1">
      <pivotArea type="data" outline="0" fieldPosition="0">
        <references count="3">
          <reference field="4294967294" count="1" selected="0">
            <x v="0"/>
          </reference>
          <reference field="0" count="1" selected="0">
            <x v="7"/>
          </reference>
          <reference field="7" count="1" selected="0">
            <x v="19"/>
          </reference>
        </references>
      </pivotArea>
    </chartFormat>
    <chartFormat chart="0" format="79" series="1">
      <pivotArea type="data" outline="0" fieldPosition="0">
        <references count="3">
          <reference field="4294967294" count="1" selected="0">
            <x v="0"/>
          </reference>
          <reference field="0" count="1" selected="0">
            <x v="7"/>
          </reference>
          <reference field="7" count="1" selected="0">
            <x v="22"/>
          </reference>
        </references>
      </pivotArea>
    </chartFormat>
    <chartFormat chart="0" format="80" series="1">
      <pivotArea type="data" outline="0" fieldPosition="0">
        <references count="3">
          <reference field="4294967294" count="1" selected="0">
            <x v="0"/>
          </reference>
          <reference field="0" count="1" selected="0">
            <x v="8"/>
          </reference>
          <reference field="7" count="1" selected="0">
            <x v="5"/>
          </reference>
        </references>
      </pivotArea>
    </chartFormat>
    <chartFormat chart="0" format="81" series="1">
      <pivotArea type="data" outline="0" fieldPosition="0">
        <references count="3">
          <reference field="4294967294" count="1" selected="0">
            <x v="0"/>
          </reference>
          <reference field="0" count="1" selected="0">
            <x v="8"/>
          </reference>
          <reference field="7" count="1" selected="0">
            <x v="9"/>
          </reference>
        </references>
      </pivotArea>
    </chartFormat>
    <chartFormat chart="0" format="82" series="1">
      <pivotArea type="data" outline="0" fieldPosition="0">
        <references count="3">
          <reference field="4294967294" count="1" selected="0">
            <x v="0"/>
          </reference>
          <reference field="0" count="1" selected="0">
            <x v="8"/>
          </reference>
          <reference field="7" count="1" selected="0">
            <x v="15"/>
          </reference>
        </references>
      </pivotArea>
    </chartFormat>
    <chartFormat chart="0" format="83" series="1">
      <pivotArea type="data" outline="0" fieldPosition="0">
        <references count="3">
          <reference field="4294967294" count="1" selected="0">
            <x v="0"/>
          </reference>
          <reference field="0" count="1" selected="0">
            <x v="8"/>
          </reference>
          <reference field="7" count="1" selected="0">
            <x v="19"/>
          </reference>
        </references>
      </pivotArea>
    </chartFormat>
    <chartFormat chart="0" format="84" series="1">
      <pivotArea type="data" outline="0" fieldPosition="0">
        <references count="3">
          <reference field="4294967294" count="1" selected="0">
            <x v="0"/>
          </reference>
          <reference field="0" count="1" selected="0">
            <x v="8"/>
          </reference>
          <reference field="7" count="1" selected="0">
            <x v="22"/>
          </reference>
        </references>
      </pivotArea>
    </chartFormat>
    <chartFormat chart="0" format="85" series="1">
      <pivotArea type="data" outline="0" fieldPosition="0">
        <references count="3">
          <reference field="4294967294" count="1" selected="0">
            <x v="0"/>
          </reference>
          <reference field="0" count="1" selected="0">
            <x v="10"/>
          </reference>
          <reference field="7" count="1" selected="0">
            <x v="5"/>
          </reference>
        </references>
      </pivotArea>
    </chartFormat>
    <chartFormat chart="0" format="86" series="1">
      <pivotArea type="data" outline="0" fieldPosition="0">
        <references count="3">
          <reference field="4294967294" count="1" selected="0">
            <x v="0"/>
          </reference>
          <reference field="0" count="1" selected="0">
            <x v="10"/>
          </reference>
          <reference field="7" count="1" selected="0">
            <x v="15"/>
          </reference>
        </references>
      </pivotArea>
    </chartFormat>
    <chartFormat chart="0" format="87" series="1">
      <pivotArea type="data" outline="0" fieldPosition="0">
        <references count="3">
          <reference field="4294967294" count="1" selected="0">
            <x v="0"/>
          </reference>
          <reference field="0" count="1" selected="0">
            <x v="10"/>
          </reference>
          <reference field="7" count="1" selected="0">
            <x v="19"/>
          </reference>
        </references>
      </pivotArea>
    </chartFormat>
    <chartFormat chart="0" format="88" series="1">
      <pivotArea type="data" outline="0" fieldPosition="0">
        <references count="3">
          <reference field="4294967294" count="1" selected="0">
            <x v="0"/>
          </reference>
          <reference field="0" count="1" selected="0">
            <x v="11"/>
          </reference>
          <reference field="7" count="1" selected="0">
            <x v="3"/>
          </reference>
        </references>
      </pivotArea>
    </chartFormat>
    <chartFormat chart="0" format="89" series="1">
      <pivotArea type="data" outline="0" fieldPosition="0">
        <references count="3">
          <reference field="4294967294" count="1" selected="0">
            <x v="0"/>
          </reference>
          <reference field="0" count="1" selected="0">
            <x v="11"/>
          </reference>
          <reference field="7" count="1" selected="0">
            <x v="5"/>
          </reference>
        </references>
      </pivotArea>
    </chartFormat>
    <chartFormat chart="0" format="90" series="1">
      <pivotArea type="data" outline="0" fieldPosition="0">
        <references count="3">
          <reference field="4294967294" count="1" selected="0">
            <x v="0"/>
          </reference>
          <reference field="0" count="1" selected="0">
            <x v="11"/>
          </reference>
          <reference field="7" count="1" selected="0">
            <x v="6"/>
          </reference>
        </references>
      </pivotArea>
    </chartFormat>
    <chartFormat chart="0" format="91" series="1">
      <pivotArea type="data" outline="0" fieldPosition="0">
        <references count="3">
          <reference field="4294967294" count="1" selected="0">
            <x v="0"/>
          </reference>
          <reference field="0" count="1" selected="0">
            <x v="11"/>
          </reference>
          <reference field="7" count="1" selected="0">
            <x v="8"/>
          </reference>
        </references>
      </pivotArea>
    </chartFormat>
    <chartFormat chart="0" format="92" series="1">
      <pivotArea type="data" outline="0" fieldPosition="0">
        <references count="3">
          <reference field="4294967294" count="1" selected="0">
            <x v="0"/>
          </reference>
          <reference field="0" count="1" selected="0">
            <x v="11"/>
          </reference>
          <reference field="7" count="1" selected="0">
            <x v="9"/>
          </reference>
        </references>
      </pivotArea>
    </chartFormat>
    <chartFormat chart="0" format="93" series="1">
      <pivotArea type="data" outline="0" fieldPosition="0">
        <references count="3">
          <reference field="4294967294" count="1" selected="0">
            <x v="0"/>
          </reference>
          <reference field="0" count="1" selected="0">
            <x v="11"/>
          </reference>
          <reference field="7" count="1" selected="0">
            <x v="15"/>
          </reference>
        </references>
      </pivotArea>
    </chartFormat>
    <chartFormat chart="0" format="94" series="1">
      <pivotArea type="data" outline="0" fieldPosition="0">
        <references count="3">
          <reference field="4294967294" count="1" selected="0">
            <x v="0"/>
          </reference>
          <reference field="0" count="1" selected="0">
            <x v="11"/>
          </reference>
          <reference field="7" count="1" selected="0">
            <x v="19"/>
          </reference>
        </references>
      </pivotArea>
    </chartFormat>
    <chartFormat chart="0" format="95" series="1">
      <pivotArea type="data" outline="0" fieldPosition="0">
        <references count="3">
          <reference field="4294967294" count="1" selected="0">
            <x v="0"/>
          </reference>
          <reference field="0" count="1" selected="0">
            <x v="11"/>
          </reference>
          <reference field="7" count="1" selected="0">
            <x v="22"/>
          </reference>
        </references>
      </pivotArea>
    </chartFormat>
    <chartFormat chart="0" format="96" series="1">
      <pivotArea type="data" outline="0" fieldPosition="0">
        <references count="3">
          <reference field="4294967294" count="1" selected="0">
            <x v="0"/>
          </reference>
          <reference field="0" count="1" selected="0">
            <x v="11"/>
          </reference>
          <reference field="7" count="1" selected="0">
            <x v="23"/>
          </reference>
        </references>
      </pivotArea>
    </chartFormat>
    <chartFormat chart="0" format="97" series="1">
      <pivotArea type="data" outline="0" fieldPosition="0">
        <references count="3">
          <reference field="4294967294" count="1" selected="0">
            <x v="0"/>
          </reference>
          <reference field="0" count="1" selected="0">
            <x v="12"/>
          </reference>
          <reference field="7" count="1" selected="0">
            <x v="2"/>
          </reference>
        </references>
      </pivotArea>
    </chartFormat>
    <chartFormat chart="0" format="98" series="1">
      <pivotArea type="data" outline="0" fieldPosition="0">
        <references count="3">
          <reference field="4294967294" count="1" selected="0">
            <x v="0"/>
          </reference>
          <reference field="0" count="1" selected="0">
            <x v="12"/>
          </reference>
          <reference field="7" count="1" selected="0">
            <x v="3"/>
          </reference>
        </references>
      </pivotArea>
    </chartFormat>
    <chartFormat chart="0" format="99" series="1">
      <pivotArea type="data" outline="0" fieldPosition="0">
        <references count="3">
          <reference field="4294967294" count="1" selected="0">
            <x v="0"/>
          </reference>
          <reference field="0" count="1" selected="0">
            <x v="12"/>
          </reference>
          <reference field="7" count="1" selected="0">
            <x v="5"/>
          </reference>
        </references>
      </pivotArea>
    </chartFormat>
    <chartFormat chart="0" format="100" series="1">
      <pivotArea type="data" outline="0" fieldPosition="0">
        <references count="3">
          <reference field="4294967294" count="1" selected="0">
            <x v="0"/>
          </reference>
          <reference field="0" count="1" selected="0">
            <x v="12"/>
          </reference>
          <reference field="7" count="1" selected="0">
            <x v="6"/>
          </reference>
        </references>
      </pivotArea>
    </chartFormat>
    <chartFormat chart="0" format="101" series="1">
      <pivotArea type="data" outline="0" fieldPosition="0">
        <references count="3">
          <reference field="4294967294" count="1" selected="0">
            <x v="0"/>
          </reference>
          <reference field="0" count="1" selected="0">
            <x v="12"/>
          </reference>
          <reference field="7" count="1" selected="0">
            <x v="9"/>
          </reference>
        </references>
      </pivotArea>
    </chartFormat>
    <chartFormat chart="0" format="102" series="1">
      <pivotArea type="data" outline="0" fieldPosition="0">
        <references count="3">
          <reference field="4294967294" count="1" selected="0">
            <x v="0"/>
          </reference>
          <reference field="0" count="1" selected="0">
            <x v="12"/>
          </reference>
          <reference field="7" count="1" selected="0">
            <x v="15"/>
          </reference>
        </references>
      </pivotArea>
    </chartFormat>
    <chartFormat chart="0" format="103" series="1">
      <pivotArea type="data" outline="0" fieldPosition="0">
        <references count="3">
          <reference field="4294967294" count="1" selected="0">
            <x v="0"/>
          </reference>
          <reference field="0" count="1" selected="0">
            <x v="12"/>
          </reference>
          <reference field="7" count="1" selected="0">
            <x v="19"/>
          </reference>
        </references>
      </pivotArea>
    </chartFormat>
    <chartFormat chart="0" format="104" series="1">
      <pivotArea type="data" outline="0" fieldPosition="0">
        <references count="3">
          <reference field="4294967294" count="1" selected="0">
            <x v="0"/>
          </reference>
          <reference field="0" count="1" selected="0">
            <x v="12"/>
          </reference>
          <reference field="7" count="1" selected="0">
            <x v="20"/>
          </reference>
        </references>
      </pivotArea>
    </chartFormat>
    <chartFormat chart="0" format="105" series="1">
      <pivotArea type="data" outline="0" fieldPosition="0">
        <references count="3">
          <reference field="4294967294" count="1" selected="0">
            <x v="0"/>
          </reference>
          <reference field="0" count="1" selected="0">
            <x v="12"/>
          </reference>
          <reference field="7" count="1" selected="0">
            <x v="22"/>
          </reference>
        </references>
      </pivotArea>
    </chartFormat>
    <chartFormat chart="0" format="106" series="1">
      <pivotArea type="data" outline="0" fieldPosition="0">
        <references count="3">
          <reference field="4294967294" count="1" selected="0">
            <x v="0"/>
          </reference>
          <reference field="0" count="1" selected="0">
            <x v="12"/>
          </reference>
          <reference field="7" count="1" selected="0">
            <x v="23"/>
          </reference>
        </references>
      </pivotArea>
    </chartFormat>
    <chartFormat chart="0" format="107" series="1">
      <pivotArea type="data" outline="0" fieldPosition="0">
        <references count="3">
          <reference field="4294967294" count="1" selected="0">
            <x v="0"/>
          </reference>
          <reference field="0" count="1" selected="0">
            <x v="13"/>
          </reference>
          <reference field="7" count="1" selected="0">
            <x v="3"/>
          </reference>
        </references>
      </pivotArea>
    </chartFormat>
    <chartFormat chart="0" format="108" series="1">
      <pivotArea type="data" outline="0" fieldPosition="0">
        <references count="3">
          <reference field="4294967294" count="1" selected="0">
            <x v="0"/>
          </reference>
          <reference field="0" count="1" selected="0">
            <x v="13"/>
          </reference>
          <reference field="7" count="1" selected="0">
            <x v="5"/>
          </reference>
        </references>
      </pivotArea>
    </chartFormat>
    <chartFormat chart="0" format="109" series="1">
      <pivotArea type="data" outline="0" fieldPosition="0">
        <references count="3">
          <reference field="4294967294" count="1" selected="0">
            <x v="0"/>
          </reference>
          <reference field="0" count="1" selected="0">
            <x v="13"/>
          </reference>
          <reference field="7" count="1" selected="0">
            <x v="9"/>
          </reference>
        </references>
      </pivotArea>
    </chartFormat>
    <chartFormat chart="0" format="110" series="1">
      <pivotArea type="data" outline="0" fieldPosition="0">
        <references count="3">
          <reference field="4294967294" count="1" selected="0">
            <x v="0"/>
          </reference>
          <reference field="0" count="1" selected="0">
            <x v="13"/>
          </reference>
          <reference field="7" count="1" selected="0">
            <x v="15"/>
          </reference>
        </references>
      </pivotArea>
    </chartFormat>
    <chartFormat chart="0" format="111" series="1">
      <pivotArea type="data" outline="0" fieldPosition="0">
        <references count="3">
          <reference field="4294967294" count="1" selected="0">
            <x v="0"/>
          </reference>
          <reference field="0" count="1" selected="0">
            <x v="13"/>
          </reference>
          <reference field="7" count="1" selected="0">
            <x v="19"/>
          </reference>
        </references>
      </pivotArea>
    </chartFormat>
    <chartFormat chart="0" format="112" series="1">
      <pivotArea type="data" outline="0" fieldPosition="0">
        <references count="3">
          <reference field="4294967294" count="1" selected="0">
            <x v="0"/>
          </reference>
          <reference field="0" count="1" selected="0">
            <x v="13"/>
          </reference>
          <reference field="7" count="1" selected="0">
            <x v="20"/>
          </reference>
        </references>
      </pivotArea>
    </chartFormat>
    <chartFormat chart="0" format="113" series="1">
      <pivotArea type="data" outline="0" fieldPosition="0">
        <references count="3">
          <reference field="4294967294" count="1" selected="0">
            <x v="0"/>
          </reference>
          <reference field="0" count="1" selected="0">
            <x v="13"/>
          </reference>
          <reference field="7" count="1" selected="0">
            <x v="22"/>
          </reference>
        </references>
      </pivotArea>
    </chartFormat>
    <chartFormat chart="0" format="114" series="1">
      <pivotArea type="data" outline="0" fieldPosition="0">
        <references count="3">
          <reference field="4294967294" count="1" selected="0">
            <x v="0"/>
          </reference>
          <reference field="0" count="1" selected="0">
            <x v="13"/>
          </reference>
          <reference field="7" count="1" selected="0">
            <x v="23"/>
          </reference>
        </references>
      </pivotArea>
    </chartFormat>
    <chartFormat chart="0" format="115" series="1">
      <pivotArea type="data" outline="0" fieldPosition="0">
        <references count="3">
          <reference field="4294967294" count="1" selected="0">
            <x v="0"/>
          </reference>
          <reference field="0" count="1" selected="0">
            <x v="14"/>
          </reference>
          <reference field="7" count="1" selected="0">
            <x v="3"/>
          </reference>
        </references>
      </pivotArea>
    </chartFormat>
    <chartFormat chart="0" format="116" series="1">
      <pivotArea type="data" outline="0" fieldPosition="0">
        <references count="3">
          <reference field="4294967294" count="1" selected="0">
            <x v="0"/>
          </reference>
          <reference field="0" count="1" selected="0">
            <x v="14"/>
          </reference>
          <reference field="7" count="1" selected="0">
            <x v="5"/>
          </reference>
        </references>
      </pivotArea>
    </chartFormat>
    <chartFormat chart="0" format="117" series="1">
      <pivotArea type="data" outline="0" fieldPosition="0">
        <references count="3">
          <reference field="4294967294" count="1" selected="0">
            <x v="0"/>
          </reference>
          <reference field="0" count="1" selected="0">
            <x v="14"/>
          </reference>
          <reference field="7" count="1" selected="0">
            <x v="6"/>
          </reference>
        </references>
      </pivotArea>
    </chartFormat>
    <chartFormat chart="0" format="118" series="1">
      <pivotArea type="data" outline="0" fieldPosition="0">
        <references count="3">
          <reference field="4294967294" count="1" selected="0">
            <x v="0"/>
          </reference>
          <reference field="0" count="1" selected="0">
            <x v="14"/>
          </reference>
          <reference field="7" count="1" selected="0">
            <x v="9"/>
          </reference>
        </references>
      </pivotArea>
    </chartFormat>
    <chartFormat chart="0" format="119" series="1">
      <pivotArea type="data" outline="0" fieldPosition="0">
        <references count="3">
          <reference field="4294967294" count="1" selected="0">
            <x v="0"/>
          </reference>
          <reference field="0" count="1" selected="0">
            <x v="14"/>
          </reference>
          <reference field="7" count="1" selected="0">
            <x v="15"/>
          </reference>
        </references>
      </pivotArea>
    </chartFormat>
    <chartFormat chart="0" format="120" series="1">
      <pivotArea type="data" outline="0" fieldPosition="0">
        <references count="3">
          <reference field="4294967294" count="1" selected="0">
            <x v="0"/>
          </reference>
          <reference field="0" count="1" selected="0">
            <x v="14"/>
          </reference>
          <reference field="7" count="1" selected="0">
            <x v="19"/>
          </reference>
        </references>
      </pivotArea>
    </chartFormat>
    <chartFormat chart="0" format="121" series="1">
      <pivotArea type="data" outline="0" fieldPosition="0">
        <references count="3">
          <reference field="4294967294" count="1" selected="0">
            <x v="0"/>
          </reference>
          <reference field="0" count="1" selected="0">
            <x v="14"/>
          </reference>
          <reference field="7" count="1" selected="0">
            <x v="22"/>
          </reference>
        </references>
      </pivotArea>
    </chartFormat>
    <chartFormat chart="0" format="122" series="1">
      <pivotArea type="data" outline="0" fieldPosition="0">
        <references count="3">
          <reference field="4294967294" count="1" selected="0">
            <x v="0"/>
          </reference>
          <reference field="0" count="1" selected="0">
            <x v="14"/>
          </reference>
          <reference field="7" count="1" selected="0">
            <x v="23"/>
          </reference>
        </references>
      </pivotArea>
    </chartFormat>
    <chartFormat chart="0" format="123" series="1">
      <pivotArea type="data" outline="0" fieldPosition="0">
        <references count="3">
          <reference field="4294967294" count="1" selected="0">
            <x v="0"/>
          </reference>
          <reference field="0" count="1" selected="0">
            <x v="15"/>
          </reference>
          <reference field="7" count="1" selected="0">
            <x v="15"/>
          </reference>
        </references>
      </pivotArea>
    </chartFormat>
    <chartFormat chart="0" format="124" series="1">
      <pivotArea type="data" outline="0" fieldPosition="0">
        <references count="3">
          <reference field="4294967294" count="1" selected="0">
            <x v="0"/>
          </reference>
          <reference field="0" count="1" selected="0">
            <x v="15"/>
          </reference>
          <reference field="7" count="1" selected="0">
            <x v="19"/>
          </reference>
        </references>
      </pivotArea>
    </chartFormat>
    <chartFormat chart="0" format="125" series="1">
      <pivotArea type="data" outline="0" fieldPosition="0">
        <references count="3">
          <reference field="4294967294" count="1" selected="0">
            <x v="0"/>
          </reference>
          <reference field="0" count="1" selected="0">
            <x v="16"/>
          </reference>
          <reference field="7" count="1" selected="0">
            <x v="2"/>
          </reference>
        </references>
      </pivotArea>
    </chartFormat>
    <chartFormat chart="0" format="126" series="1">
      <pivotArea type="data" outline="0" fieldPosition="0">
        <references count="3">
          <reference field="4294967294" count="1" selected="0">
            <x v="0"/>
          </reference>
          <reference field="0" count="1" selected="0">
            <x v="16"/>
          </reference>
          <reference field="7" count="1" selected="0">
            <x v="3"/>
          </reference>
        </references>
      </pivotArea>
    </chartFormat>
    <chartFormat chart="0" format="127" series="1">
      <pivotArea type="data" outline="0" fieldPosition="0">
        <references count="3">
          <reference field="4294967294" count="1" selected="0">
            <x v="0"/>
          </reference>
          <reference field="0" count="1" selected="0">
            <x v="16"/>
          </reference>
          <reference field="7" count="1" selected="0">
            <x v="5"/>
          </reference>
        </references>
      </pivotArea>
    </chartFormat>
    <chartFormat chart="0" format="128" series="1">
      <pivotArea type="data" outline="0" fieldPosition="0">
        <references count="3">
          <reference field="4294967294" count="1" selected="0">
            <x v="0"/>
          </reference>
          <reference field="0" count="1" selected="0">
            <x v="16"/>
          </reference>
          <reference field="7" count="1" selected="0">
            <x v="6"/>
          </reference>
        </references>
      </pivotArea>
    </chartFormat>
    <chartFormat chart="0" format="129" series="1">
      <pivotArea type="data" outline="0" fieldPosition="0">
        <references count="3">
          <reference field="4294967294" count="1" selected="0">
            <x v="0"/>
          </reference>
          <reference field="0" count="1" selected="0">
            <x v="16"/>
          </reference>
          <reference field="7" count="1" selected="0">
            <x v="9"/>
          </reference>
        </references>
      </pivotArea>
    </chartFormat>
    <chartFormat chart="0" format="130" series="1">
      <pivotArea type="data" outline="0" fieldPosition="0">
        <references count="3">
          <reference field="4294967294" count="1" selected="0">
            <x v="0"/>
          </reference>
          <reference field="0" count="1" selected="0">
            <x v="16"/>
          </reference>
          <reference field="7" count="1" selected="0">
            <x v="15"/>
          </reference>
        </references>
      </pivotArea>
    </chartFormat>
    <chartFormat chart="0" format="131" series="1">
      <pivotArea type="data" outline="0" fieldPosition="0">
        <references count="3">
          <reference field="4294967294" count="1" selected="0">
            <x v="0"/>
          </reference>
          <reference field="0" count="1" selected="0">
            <x v="16"/>
          </reference>
          <reference field="7" count="1" selected="0">
            <x v="19"/>
          </reference>
        </references>
      </pivotArea>
    </chartFormat>
    <chartFormat chart="0" format="132" series="1">
      <pivotArea type="data" outline="0" fieldPosition="0">
        <references count="3">
          <reference field="4294967294" count="1" selected="0">
            <x v="0"/>
          </reference>
          <reference field="0" count="1" selected="0">
            <x v="16"/>
          </reference>
          <reference field="7" count="1" selected="0">
            <x v="20"/>
          </reference>
        </references>
      </pivotArea>
    </chartFormat>
    <chartFormat chart="0" format="133" series="1">
      <pivotArea type="data" outline="0" fieldPosition="0">
        <references count="3">
          <reference field="4294967294" count="1" selected="0">
            <x v="0"/>
          </reference>
          <reference field="0" count="1" selected="0">
            <x v="16"/>
          </reference>
          <reference field="7" count="1" selected="0">
            <x v="22"/>
          </reference>
        </references>
      </pivotArea>
    </chartFormat>
    <chartFormat chart="0" format="134" series="1">
      <pivotArea type="data" outline="0" fieldPosition="0">
        <references count="3">
          <reference field="4294967294" count="1" selected="0">
            <x v="0"/>
          </reference>
          <reference field="0" count="1" selected="0">
            <x v="16"/>
          </reference>
          <reference field="7" count="1" selected="0">
            <x v="23"/>
          </reference>
        </references>
      </pivotArea>
    </chartFormat>
    <chartFormat chart="0" format="135" series="1">
      <pivotArea type="data" outline="0" fieldPosition="0">
        <references count="3">
          <reference field="4294967294" count="1" selected="0">
            <x v="0"/>
          </reference>
          <reference field="0" count="1" selected="0">
            <x v="17"/>
          </reference>
          <reference field="7" count="1" selected="0">
            <x v="5"/>
          </reference>
        </references>
      </pivotArea>
    </chartFormat>
    <chartFormat chart="0" format="136" series="1">
      <pivotArea type="data" outline="0" fieldPosition="0">
        <references count="3">
          <reference field="4294967294" count="1" selected="0">
            <x v="0"/>
          </reference>
          <reference field="0" count="1" selected="0">
            <x v="17"/>
          </reference>
          <reference field="7" count="1" selected="0">
            <x v="6"/>
          </reference>
        </references>
      </pivotArea>
    </chartFormat>
    <chartFormat chart="0" format="137" series="1">
      <pivotArea type="data" outline="0" fieldPosition="0">
        <references count="3">
          <reference field="4294967294" count="1" selected="0">
            <x v="0"/>
          </reference>
          <reference field="0" count="1" selected="0">
            <x v="17"/>
          </reference>
          <reference field="7" count="1" selected="0">
            <x v="15"/>
          </reference>
        </references>
      </pivotArea>
    </chartFormat>
    <chartFormat chart="0" format="138" series="1">
      <pivotArea type="data" outline="0" fieldPosition="0">
        <references count="3">
          <reference field="4294967294" count="1" selected="0">
            <x v="0"/>
          </reference>
          <reference field="0" count="1" selected="0">
            <x v="17"/>
          </reference>
          <reference field="7" count="1" selected="0">
            <x v="19"/>
          </reference>
        </references>
      </pivotArea>
    </chartFormat>
    <chartFormat chart="0" format="139" series="1">
      <pivotArea type="data" outline="0" fieldPosition="0">
        <references count="3">
          <reference field="4294967294" count="1" selected="0">
            <x v="0"/>
          </reference>
          <reference field="0" count="1" selected="0">
            <x v="17"/>
          </reference>
          <reference field="7" count="1" selected="0">
            <x v="20"/>
          </reference>
        </references>
      </pivotArea>
    </chartFormat>
    <chartFormat chart="0" format="140" series="1">
      <pivotArea type="data" outline="0" fieldPosition="0">
        <references count="3">
          <reference field="4294967294" count="1" selected="0">
            <x v="0"/>
          </reference>
          <reference field="0" count="1" selected="0">
            <x v="17"/>
          </reference>
          <reference field="7" count="1" selected="0">
            <x v="22"/>
          </reference>
        </references>
      </pivotArea>
    </chartFormat>
    <chartFormat chart="0" format="141" series="1">
      <pivotArea type="data" outline="0" fieldPosition="0">
        <references count="3">
          <reference field="4294967294" count="1" selected="0">
            <x v="0"/>
          </reference>
          <reference field="0" count="1" selected="0">
            <x v="17"/>
          </reference>
          <reference field="7" count="1" selected="0">
            <x v="23"/>
          </reference>
        </references>
      </pivotArea>
    </chartFormat>
    <chartFormat chart="0" format="142" series="1">
      <pivotArea type="data" outline="0" fieldPosition="0">
        <references count="3">
          <reference field="4294967294" count="1" selected="0">
            <x v="0"/>
          </reference>
          <reference field="0" count="1" selected="0">
            <x v="18"/>
          </reference>
          <reference field="7" count="1" selected="0">
            <x v="2"/>
          </reference>
        </references>
      </pivotArea>
    </chartFormat>
    <chartFormat chart="0" format="143" series="1">
      <pivotArea type="data" outline="0" fieldPosition="0">
        <references count="3">
          <reference field="4294967294" count="1" selected="0">
            <x v="0"/>
          </reference>
          <reference field="0" count="1" selected="0">
            <x v="18"/>
          </reference>
          <reference field="7" count="1" selected="0">
            <x v="3"/>
          </reference>
        </references>
      </pivotArea>
    </chartFormat>
    <chartFormat chart="0" format="144" series="1">
      <pivotArea type="data" outline="0" fieldPosition="0">
        <references count="3">
          <reference field="4294967294" count="1" selected="0">
            <x v="0"/>
          </reference>
          <reference field="0" count="1" selected="0">
            <x v="18"/>
          </reference>
          <reference field="7" count="1" selected="0">
            <x v="5"/>
          </reference>
        </references>
      </pivotArea>
    </chartFormat>
    <chartFormat chart="0" format="145" series="1">
      <pivotArea type="data" outline="0" fieldPosition="0">
        <references count="3">
          <reference field="4294967294" count="1" selected="0">
            <x v="0"/>
          </reference>
          <reference field="0" count="1" selected="0">
            <x v="18"/>
          </reference>
          <reference field="7" count="1" selected="0">
            <x v="6"/>
          </reference>
        </references>
      </pivotArea>
    </chartFormat>
    <chartFormat chart="0" format="146" series="1">
      <pivotArea type="data" outline="0" fieldPosition="0">
        <references count="3">
          <reference field="4294967294" count="1" selected="0">
            <x v="0"/>
          </reference>
          <reference field="0" count="1" selected="0">
            <x v="18"/>
          </reference>
          <reference field="7" count="1" selected="0">
            <x v="15"/>
          </reference>
        </references>
      </pivotArea>
    </chartFormat>
    <chartFormat chart="0" format="147" series="1">
      <pivotArea type="data" outline="0" fieldPosition="0">
        <references count="3">
          <reference field="4294967294" count="1" selected="0">
            <x v="0"/>
          </reference>
          <reference field="0" count="1" selected="0">
            <x v="18"/>
          </reference>
          <reference field="7" count="1" selected="0">
            <x v="19"/>
          </reference>
        </references>
      </pivotArea>
    </chartFormat>
    <chartFormat chart="0" format="148" series="1">
      <pivotArea type="data" outline="0" fieldPosition="0">
        <references count="3">
          <reference field="4294967294" count="1" selected="0">
            <x v="0"/>
          </reference>
          <reference field="0" count="1" selected="0">
            <x v="18"/>
          </reference>
          <reference field="7" count="1" selected="0">
            <x v="20"/>
          </reference>
        </references>
      </pivotArea>
    </chartFormat>
    <chartFormat chart="0" format="149" series="1">
      <pivotArea type="data" outline="0" fieldPosition="0">
        <references count="3">
          <reference field="4294967294" count="1" selected="0">
            <x v="0"/>
          </reference>
          <reference field="0" count="1" selected="0">
            <x v="18"/>
          </reference>
          <reference field="7" count="1" selected="0">
            <x v="23"/>
          </reference>
        </references>
      </pivotArea>
    </chartFormat>
    <chartFormat chart="0" format="150" series="1">
      <pivotArea type="data" outline="0" fieldPosition="0">
        <references count="3">
          <reference field="4294967294" count="1" selected="0">
            <x v="0"/>
          </reference>
          <reference field="0" count="1" selected="0">
            <x v="19"/>
          </reference>
          <reference field="7" count="1" selected="0">
            <x v="2"/>
          </reference>
        </references>
      </pivotArea>
    </chartFormat>
    <chartFormat chart="0" format="151" series="1">
      <pivotArea type="data" outline="0" fieldPosition="0">
        <references count="3">
          <reference field="4294967294" count="1" selected="0">
            <x v="0"/>
          </reference>
          <reference field="0" count="1" selected="0">
            <x v="19"/>
          </reference>
          <reference field="7" count="1" selected="0">
            <x v="15"/>
          </reference>
        </references>
      </pivotArea>
    </chartFormat>
    <chartFormat chart="0" format="152" series="1">
      <pivotArea type="data" outline="0" fieldPosition="0">
        <references count="3">
          <reference field="4294967294" count="1" selected="0">
            <x v="0"/>
          </reference>
          <reference field="0" count="1" selected="0">
            <x v="19"/>
          </reference>
          <reference field="7" count="1" selected="0">
            <x v="19"/>
          </reference>
        </references>
      </pivotArea>
    </chartFormat>
    <chartFormat chart="0" format="153" series="1">
      <pivotArea type="data" outline="0" fieldPosition="0">
        <references count="3">
          <reference field="4294967294" count="1" selected="0">
            <x v="0"/>
          </reference>
          <reference field="0" count="1" selected="0">
            <x v="19"/>
          </reference>
          <reference field="7" count="1" selected="0">
            <x v="20"/>
          </reference>
        </references>
      </pivotArea>
    </chartFormat>
    <chartFormat chart="0" format="154" series="1">
      <pivotArea type="data" outline="0" fieldPosition="0">
        <references count="3">
          <reference field="4294967294" count="1" selected="0">
            <x v="0"/>
          </reference>
          <reference field="0" count="1" selected="0">
            <x v="19"/>
          </reference>
          <reference field="7" count="1" selected="0">
            <x v="22"/>
          </reference>
        </references>
      </pivotArea>
    </chartFormat>
    <chartFormat chart="0" format="155" series="1">
      <pivotArea type="data" outline="0" fieldPosition="0">
        <references count="3">
          <reference field="4294967294" count="1" selected="0">
            <x v="0"/>
          </reference>
          <reference field="0" count="1" selected="0">
            <x v="19"/>
          </reference>
          <reference field="7" count="1" selected="0">
            <x v="23"/>
          </reference>
        </references>
      </pivotArea>
    </chartFormat>
    <chartFormat chart="5" format="76" series="1">
      <pivotArea type="data" outline="0" fieldPosition="0">
        <references count="3">
          <reference field="4294967294" count="1" selected="0">
            <x v="0"/>
          </reference>
          <reference field="0" count="1" selected="0">
            <x v="4"/>
          </reference>
          <reference field="7" count="1" selected="0">
            <x v="5"/>
          </reference>
        </references>
      </pivotArea>
    </chartFormat>
    <chartFormat chart="5" format="77" series="1">
      <pivotArea type="data" outline="0" fieldPosition="0">
        <references count="3">
          <reference field="4294967294" count="1" selected="0">
            <x v="0"/>
          </reference>
          <reference field="0" count="1" selected="0">
            <x v="4"/>
          </reference>
          <reference field="7" count="1" selected="0">
            <x v="6"/>
          </reference>
        </references>
      </pivotArea>
    </chartFormat>
    <chartFormat chart="5" format="78" series="1">
      <pivotArea type="data" outline="0" fieldPosition="0">
        <references count="3">
          <reference field="4294967294" count="1" selected="0">
            <x v="0"/>
          </reference>
          <reference field="0" count="1" selected="0">
            <x v="4"/>
          </reference>
          <reference field="7" count="1" selected="0">
            <x v="8"/>
          </reference>
        </references>
      </pivotArea>
    </chartFormat>
    <chartFormat chart="5" format="79" series="1">
      <pivotArea type="data" outline="0" fieldPosition="0">
        <references count="3">
          <reference field="4294967294" count="1" selected="0">
            <x v="0"/>
          </reference>
          <reference field="0" count="1" selected="0">
            <x v="4"/>
          </reference>
          <reference field="7" count="1" selected="0">
            <x v="11"/>
          </reference>
        </references>
      </pivotArea>
    </chartFormat>
    <chartFormat chart="5" format="80" series="1">
      <pivotArea type="data" outline="0" fieldPosition="0">
        <references count="3">
          <reference field="4294967294" count="1" selected="0">
            <x v="0"/>
          </reference>
          <reference field="0" count="1" selected="0">
            <x v="4"/>
          </reference>
          <reference field="7" count="1" selected="0">
            <x v="15"/>
          </reference>
        </references>
      </pivotArea>
    </chartFormat>
    <chartFormat chart="5" format="81" series="1">
      <pivotArea type="data" outline="0" fieldPosition="0">
        <references count="3">
          <reference field="4294967294" count="1" selected="0">
            <x v="0"/>
          </reference>
          <reference field="0" count="1" selected="0">
            <x v="4"/>
          </reference>
          <reference field="7" count="1" selected="0">
            <x v="19"/>
          </reference>
        </references>
      </pivotArea>
    </chartFormat>
    <chartFormat chart="5" format="82" series="1">
      <pivotArea type="data" outline="0" fieldPosition="0">
        <references count="3">
          <reference field="4294967294" count="1" selected="0">
            <x v="0"/>
          </reference>
          <reference field="0" count="1" selected="0">
            <x v="4"/>
          </reference>
          <reference field="7" count="1" selected="0">
            <x v="20"/>
          </reference>
        </references>
      </pivotArea>
    </chartFormat>
    <chartFormat chart="5" format="83" series="1">
      <pivotArea type="data" outline="0" fieldPosition="0">
        <references count="3">
          <reference field="4294967294" count="1" selected="0">
            <x v="0"/>
          </reference>
          <reference field="0" count="1" selected="0">
            <x v="4"/>
          </reference>
          <reference field="7" count="1" selected="0">
            <x v="22"/>
          </reference>
        </references>
      </pivotArea>
    </chartFormat>
    <chartFormat chart="5" format="84" series="1">
      <pivotArea type="data" outline="0" fieldPosition="0">
        <references count="3">
          <reference field="4294967294" count="1" selected="0">
            <x v="0"/>
          </reference>
          <reference field="0" count="1" selected="0">
            <x v="4"/>
          </reference>
          <reference field="7" count="1" selected="0">
            <x v="23"/>
          </reference>
        </references>
      </pivotArea>
    </chartFormat>
    <chartFormat chart="5" format="85" series="1">
      <pivotArea type="data" outline="0" fieldPosition="0">
        <references count="3">
          <reference field="4294967294" count="1" selected="0">
            <x v="0"/>
          </reference>
          <reference field="0" count="1" selected="0">
            <x v="5"/>
          </reference>
          <reference field="7" count="1" selected="0">
            <x v="2"/>
          </reference>
        </references>
      </pivotArea>
    </chartFormat>
    <chartFormat chart="5" format="86" series="1">
      <pivotArea type="data" outline="0" fieldPosition="0">
        <references count="3">
          <reference field="4294967294" count="1" selected="0">
            <x v="0"/>
          </reference>
          <reference field="0" count="1" selected="0">
            <x v="5"/>
          </reference>
          <reference field="7" count="1" selected="0">
            <x v="3"/>
          </reference>
        </references>
      </pivotArea>
    </chartFormat>
    <chartFormat chart="5" format="87" series="1">
      <pivotArea type="data" outline="0" fieldPosition="0">
        <references count="3">
          <reference field="4294967294" count="1" selected="0">
            <x v="0"/>
          </reference>
          <reference field="0" count="1" selected="0">
            <x v="5"/>
          </reference>
          <reference field="7" count="1" selected="0">
            <x v="5"/>
          </reference>
        </references>
      </pivotArea>
    </chartFormat>
    <chartFormat chart="5" format="88" series="1">
      <pivotArea type="data" outline="0" fieldPosition="0">
        <references count="3">
          <reference field="4294967294" count="1" selected="0">
            <x v="0"/>
          </reference>
          <reference field="0" count="1" selected="0">
            <x v="5"/>
          </reference>
          <reference field="7" count="1" selected="0">
            <x v="6"/>
          </reference>
        </references>
      </pivotArea>
    </chartFormat>
    <chartFormat chart="5" format="89" series="1">
      <pivotArea type="data" outline="0" fieldPosition="0">
        <references count="3">
          <reference field="4294967294" count="1" selected="0">
            <x v="0"/>
          </reference>
          <reference field="0" count="1" selected="0">
            <x v="5"/>
          </reference>
          <reference field="7" count="1" selected="0">
            <x v="15"/>
          </reference>
        </references>
      </pivotArea>
    </chartFormat>
    <chartFormat chart="5" format="90" series="1">
      <pivotArea type="data" outline="0" fieldPosition="0">
        <references count="3">
          <reference field="4294967294" count="1" selected="0">
            <x v="0"/>
          </reference>
          <reference field="0" count="1" selected="0">
            <x v="5"/>
          </reference>
          <reference field="7" count="1" selected="0">
            <x v="19"/>
          </reference>
        </references>
      </pivotArea>
    </chartFormat>
    <chartFormat chart="5" format="91" series="1">
      <pivotArea type="data" outline="0" fieldPosition="0">
        <references count="3">
          <reference field="4294967294" count="1" selected="0">
            <x v="0"/>
          </reference>
          <reference field="0" count="1" selected="0">
            <x v="5"/>
          </reference>
          <reference field="7" count="1" selected="0">
            <x v="20"/>
          </reference>
        </references>
      </pivotArea>
    </chartFormat>
    <chartFormat chart="5" format="92" series="1">
      <pivotArea type="data" outline="0" fieldPosition="0">
        <references count="3">
          <reference field="4294967294" count="1" selected="0">
            <x v="0"/>
          </reference>
          <reference field="0" count="1" selected="0">
            <x v="5"/>
          </reference>
          <reference field="7" count="1" selected="0">
            <x v="22"/>
          </reference>
        </references>
      </pivotArea>
    </chartFormat>
    <chartFormat chart="5" format="93" series="1">
      <pivotArea type="data" outline="0" fieldPosition="0">
        <references count="3">
          <reference field="4294967294" count="1" selected="0">
            <x v="0"/>
          </reference>
          <reference field="0" count="1" selected="0">
            <x v="5"/>
          </reference>
          <reference field="7" count="1" selected="0">
            <x v="23"/>
          </reference>
        </references>
      </pivotArea>
    </chartFormat>
    <chartFormat chart="5" format="94" series="1">
      <pivotArea type="data" outline="0" fieldPosition="0">
        <references count="3">
          <reference field="4294967294" count="1" selected="0">
            <x v="0"/>
          </reference>
          <reference field="0" count="1" selected="0">
            <x v="6"/>
          </reference>
          <reference field="7" count="1" selected="0">
            <x v="2"/>
          </reference>
        </references>
      </pivotArea>
    </chartFormat>
    <chartFormat chart="5" format="95" series="1">
      <pivotArea type="data" outline="0" fieldPosition="0">
        <references count="3">
          <reference field="4294967294" count="1" selected="0">
            <x v="0"/>
          </reference>
          <reference field="0" count="1" selected="0">
            <x v="6"/>
          </reference>
          <reference field="7" count="1" selected="0">
            <x v="3"/>
          </reference>
        </references>
      </pivotArea>
    </chartFormat>
    <chartFormat chart="5" format="96" series="1">
      <pivotArea type="data" outline="0" fieldPosition="0">
        <references count="3">
          <reference field="4294967294" count="1" selected="0">
            <x v="0"/>
          </reference>
          <reference field="0" count="1" selected="0">
            <x v="6"/>
          </reference>
          <reference field="7" count="1" selected="0">
            <x v="5"/>
          </reference>
        </references>
      </pivotArea>
    </chartFormat>
    <chartFormat chart="5" format="97" series="1">
      <pivotArea type="data" outline="0" fieldPosition="0">
        <references count="3">
          <reference field="4294967294" count="1" selected="0">
            <x v="0"/>
          </reference>
          <reference field="0" count="1" selected="0">
            <x v="6"/>
          </reference>
          <reference field="7" count="1" selected="0">
            <x v="6"/>
          </reference>
        </references>
      </pivotArea>
    </chartFormat>
    <chartFormat chart="5" format="98" series="1">
      <pivotArea type="data" outline="0" fieldPosition="0">
        <references count="3">
          <reference field="4294967294" count="1" selected="0">
            <x v="0"/>
          </reference>
          <reference field="0" count="1" selected="0">
            <x v="6"/>
          </reference>
          <reference field="7" count="1" selected="0">
            <x v="15"/>
          </reference>
        </references>
      </pivotArea>
    </chartFormat>
    <chartFormat chart="5" format="99" series="1">
      <pivotArea type="data" outline="0" fieldPosition="0">
        <references count="3">
          <reference field="4294967294" count="1" selected="0">
            <x v="0"/>
          </reference>
          <reference field="0" count="1" selected="0">
            <x v="6"/>
          </reference>
          <reference field="7" count="1" selected="0">
            <x v="19"/>
          </reference>
        </references>
      </pivotArea>
    </chartFormat>
    <chartFormat chart="5" format="100" series="1">
      <pivotArea type="data" outline="0" fieldPosition="0">
        <references count="3">
          <reference field="4294967294" count="1" selected="0">
            <x v="0"/>
          </reference>
          <reference field="0" count="1" selected="0">
            <x v="6"/>
          </reference>
          <reference field="7" count="1" selected="0">
            <x v="20"/>
          </reference>
        </references>
      </pivotArea>
    </chartFormat>
    <chartFormat chart="5" format="101" series="1">
      <pivotArea type="data" outline="0" fieldPosition="0">
        <references count="3">
          <reference field="4294967294" count="1" selected="0">
            <x v="0"/>
          </reference>
          <reference field="0" count="1" selected="0">
            <x v="6"/>
          </reference>
          <reference field="7" count="1" selected="0">
            <x v="22"/>
          </reference>
        </references>
      </pivotArea>
    </chartFormat>
    <chartFormat chart="5" format="102" series="1">
      <pivotArea type="data" outline="0" fieldPosition="0">
        <references count="3">
          <reference field="4294967294" count="1" selected="0">
            <x v="0"/>
          </reference>
          <reference field="0" count="1" selected="0">
            <x v="6"/>
          </reference>
          <reference field="7" count="1" selected="0">
            <x v="23"/>
          </reference>
        </references>
      </pivotArea>
    </chartFormat>
    <chartFormat chart="5" format="103" series="1">
      <pivotArea type="data" outline="0" fieldPosition="0">
        <references count="3">
          <reference field="4294967294" count="1" selected="0">
            <x v="0"/>
          </reference>
          <reference field="0" count="1" selected="0">
            <x v="7"/>
          </reference>
          <reference field="7" count="1" selected="0">
            <x v="2"/>
          </reference>
        </references>
      </pivotArea>
    </chartFormat>
    <chartFormat chart="5" format="104" series="1">
      <pivotArea type="data" outline="0" fieldPosition="0">
        <references count="3">
          <reference field="4294967294" count="1" selected="0">
            <x v="0"/>
          </reference>
          <reference field="0" count="1" selected="0">
            <x v="7"/>
          </reference>
          <reference field="7" count="1" selected="0">
            <x v="5"/>
          </reference>
        </references>
      </pivotArea>
    </chartFormat>
    <chartFormat chart="5" format="105" series="1">
      <pivotArea type="data" outline="0" fieldPosition="0">
        <references count="3">
          <reference field="4294967294" count="1" selected="0">
            <x v="0"/>
          </reference>
          <reference field="0" count="1" selected="0">
            <x v="7"/>
          </reference>
          <reference field="7" count="1" selected="0">
            <x v="8"/>
          </reference>
        </references>
      </pivotArea>
    </chartFormat>
    <chartFormat chart="5" format="106" series="1">
      <pivotArea type="data" outline="0" fieldPosition="0">
        <references count="3">
          <reference field="4294967294" count="1" selected="0">
            <x v="0"/>
          </reference>
          <reference field="0" count="1" selected="0">
            <x v="7"/>
          </reference>
          <reference field="7" count="1" selected="0">
            <x v="9"/>
          </reference>
        </references>
      </pivotArea>
    </chartFormat>
    <chartFormat chart="5" format="107" series="1">
      <pivotArea type="data" outline="0" fieldPosition="0">
        <references count="3">
          <reference field="4294967294" count="1" selected="0">
            <x v="0"/>
          </reference>
          <reference field="0" count="1" selected="0">
            <x v="7"/>
          </reference>
          <reference field="7" count="1" selected="0">
            <x v="15"/>
          </reference>
        </references>
      </pivotArea>
    </chartFormat>
    <chartFormat chart="5" format="108" series="1">
      <pivotArea type="data" outline="0" fieldPosition="0">
        <references count="3">
          <reference field="4294967294" count="1" selected="0">
            <x v="0"/>
          </reference>
          <reference field="0" count="1" selected="0">
            <x v="7"/>
          </reference>
          <reference field="7" count="1" selected="0">
            <x v="19"/>
          </reference>
        </references>
      </pivotArea>
    </chartFormat>
    <chartFormat chart="5" format="109" series="1">
      <pivotArea type="data" outline="0" fieldPosition="0">
        <references count="3">
          <reference field="4294967294" count="1" selected="0">
            <x v="0"/>
          </reference>
          <reference field="0" count="1" selected="0">
            <x v="7"/>
          </reference>
          <reference field="7" count="1" selected="0">
            <x v="22"/>
          </reference>
        </references>
      </pivotArea>
    </chartFormat>
    <chartFormat chart="5" format="110" series="1">
      <pivotArea type="data" outline="0" fieldPosition="0">
        <references count="3">
          <reference field="4294967294" count="1" selected="0">
            <x v="0"/>
          </reference>
          <reference field="0" count="1" selected="0">
            <x v="8"/>
          </reference>
          <reference field="7" count="1" selected="0">
            <x v="5"/>
          </reference>
        </references>
      </pivotArea>
    </chartFormat>
    <chartFormat chart="5" format="111" series="1">
      <pivotArea type="data" outline="0" fieldPosition="0">
        <references count="3">
          <reference field="4294967294" count="1" selected="0">
            <x v="0"/>
          </reference>
          <reference field="0" count="1" selected="0">
            <x v="8"/>
          </reference>
          <reference field="7" count="1" selected="0">
            <x v="9"/>
          </reference>
        </references>
      </pivotArea>
    </chartFormat>
    <chartFormat chart="5" format="112" series="1">
      <pivotArea type="data" outline="0" fieldPosition="0">
        <references count="3">
          <reference field="4294967294" count="1" selected="0">
            <x v="0"/>
          </reference>
          <reference field="0" count="1" selected="0">
            <x v="8"/>
          </reference>
          <reference field="7" count="1" selected="0">
            <x v="15"/>
          </reference>
        </references>
      </pivotArea>
    </chartFormat>
    <chartFormat chart="5" format="113" series="1">
      <pivotArea type="data" outline="0" fieldPosition="0">
        <references count="3">
          <reference field="4294967294" count="1" selected="0">
            <x v="0"/>
          </reference>
          <reference field="0" count="1" selected="0">
            <x v="8"/>
          </reference>
          <reference field="7" count="1" selected="0">
            <x v="19"/>
          </reference>
        </references>
      </pivotArea>
    </chartFormat>
    <chartFormat chart="5" format="114" series="1">
      <pivotArea type="data" outline="0" fieldPosition="0">
        <references count="3">
          <reference field="4294967294" count="1" selected="0">
            <x v="0"/>
          </reference>
          <reference field="0" count="1" selected="0">
            <x v="8"/>
          </reference>
          <reference field="7" count="1" selected="0">
            <x v="22"/>
          </reference>
        </references>
      </pivotArea>
    </chartFormat>
    <chartFormat chart="5" format="115" series="1">
      <pivotArea type="data" outline="0" fieldPosition="0">
        <references count="3">
          <reference field="4294967294" count="1" selected="0">
            <x v="0"/>
          </reference>
          <reference field="0" count="1" selected="0">
            <x v="10"/>
          </reference>
          <reference field="7" count="1" selected="0">
            <x v="5"/>
          </reference>
        </references>
      </pivotArea>
    </chartFormat>
    <chartFormat chart="5" format="116" series="1">
      <pivotArea type="data" outline="0" fieldPosition="0">
        <references count="3">
          <reference field="4294967294" count="1" selected="0">
            <x v="0"/>
          </reference>
          <reference field="0" count="1" selected="0">
            <x v="10"/>
          </reference>
          <reference field="7" count="1" selected="0">
            <x v="15"/>
          </reference>
        </references>
      </pivotArea>
    </chartFormat>
    <chartFormat chart="5" format="117" series="1">
      <pivotArea type="data" outline="0" fieldPosition="0">
        <references count="3">
          <reference field="4294967294" count="1" selected="0">
            <x v="0"/>
          </reference>
          <reference field="0" count="1" selected="0">
            <x v="10"/>
          </reference>
          <reference field="7" count="1" selected="0">
            <x v="19"/>
          </reference>
        </references>
      </pivotArea>
    </chartFormat>
    <chartFormat chart="5" format="118" series="1">
      <pivotArea type="data" outline="0" fieldPosition="0">
        <references count="3">
          <reference field="4294967294" count="1" selected="0">
            <x v="0"/>
          </reference>
          <reference field="0" count="1" selected="0">
            <x v="11"/>
          </reference>
          <reference field="7" count="1" selected="0">
            <x v="3"/>
          </reference>
        </references>
      </pivotArea>
    </chartFormat>
    <chartFormat chart="5" format="119" series="1">
      <pivotArea type="data" outline="0" fieldPosition="0">
        <references count="3">
          <reference field="4294967294" count="1" selected="0">
            <x v="0"/>
          </reference>
          <reference field="0" count="1" selected="0">
            <x v="11"/>
          </reference>
          <reference field="7" count="1" selected="0">
            <x v="5"/>
          </reference>
        </references>
      </pivotArea>
    </chartFormat>
    <chartFormat chart="5" format="120" series="1">
      <pivotArea type="data" outline="0" fieldPosition="0">
        <references count="3">
          <reference field="4294967294" count="1" selected="0">
            <x v="0"/>
          </reference>
          <reference field="0" count="1" selected="0">
            <x v="11"/>
          </reference>
          <reference field="7" count="1" selected="0">
            <x v="6"/>
          </reference>
        </references>
      </pivotArea>
    </chartFormat>
    <chartFormat chart="5" format="121" series="1">
      <pivotArea type="data" outline="0" fieldPosition="0">
        <references count="3">
          <reference field="4294967294" count="1" selected="0">
            <x v="0"/>
          </reference>
          <reference field="0" count="1" selected="0">
            <x v="11"/>
          </reference>
          <reference field="7" count="1" selected="0">
            <x v="8"/>
          </reference>
        </references>
      </pivotArea>
    </chartFormat>
    <chartFormat chart="5" format="122" series="1">
      <pivotArea type="data" outline="0" fieldPosition="0">
        <references count="3">
          <reference field="4294967294" count="1" selected="0">
            <x v="0"/>
          </reference>
          <reference field="0" count="1" selected="0">
            <x v="11"/>
          </reference>
          <reference field="7" count="1" selected="0">
            <x v="9"/>
          </reference>
        </references>
      </pivotArea>
    </chartFormat>
    <chartFormat chart="5" format="123" series="1">
      <pivotArea type="data" outline="0" fieldPosition="0">
        <references count="3">
          <reference field="4294967294" count="1" selected="0">
            <x v="0"/>
          </reference>
          <reference field="0" count="1" selected="0">
            <x v="11"/>
          </reference>
          <reference field="7" count="1" selected="0">
            <x v="15"/>
          </reference>
        </references>
      </pivotArea>
    </chartFormat>
    <chartFormat chart="5" format="124" series="1">
      <pivotArea type="data" outline="0" fieldPosition="0">
        <references count="3">
          <reference field="4294967294" count="1" selected="0">
            <x v="0"/>
          </reference>
          <reference field="0" count="1" selected="0">
            <x v="11"/>
          </reference>
          <reference field="7" count="1" selected="0">
            <x v="19"/>
          </reference>
        </references>
      </pivotArea>
    </chartFormat>
    <chartFormat chart="5" format="125" series="1">
      <pivotArea type="data" outline="0" fieldPosition="0">
        <references count="3">
          <reference field="4294967294" count="1" selected="0">
            <x v="0"/>
          </reference>
          <reference field="0" count="1" selected="0">
            <x v="11"/>
          </reference>
          <reference field="7" count="1" selected="0">
            <x v="22"/>
          </reference>
        </references>
      </pivotArea>
    </chartFormat>
    <chartFormat chart="5" format="126" series="1">
      <pivotArea type="data" outline="0" fieldPosition="0">
        <references count="3">
          <reference field="4294967294" count="1" selected="0">
            <x v="0"/>
          </reference>
          <reference field="0" count="1" selected="0">
            <x v="11"/>
          </reference>
          <reference field="7" count="1" selected="0">
            <x v="23"/>
          </reference>
        </references>
      </pivotArea>
    </chartFormat>
    <chartFormat chart="5" format="127" series="1">
      <pivotArea type="data" outline="0" fieldPosition="0">
        <references count="3">
          <reference field="4294967294" count="1" selected="0">
            <x v="0"/>
          </reference>
          <reference field="0" count="1" selected="0">
            <x v="12"/>
          </reference>
          <reference field="7" count="1" selected="0">
            <x v="2"/>
          </reference>
        </references>
      </pivotArea>
    </chartFormat>
    <chartFormat chart="5" format="128" series="1">
      <pivotArea type="data" outline="0" fieldPosition="0">
        <references count="3">
          <reference field="4294967294" count="1" selected="0">
            <x v="0"/>
          </reference>
          <reference field="0" count="1" selected="0">
            <x v="12"/>
          </reference>
          <reference field="7" count="1" selected="0">
            <x v="3"/>
          </reference>
        </references>
      </pivotArea>
    </chartFormat>
    <chartFormat chart="5" format="129" series="1">
      <pivotArea type="data" outline="0" fieldPosition="0">
        <references count="3">
          <reference field="4294967294" count="1" selected="0">
            <x v="0"/>
          </reference>
          <reference field="0" count="1" selected="0">
            <x v="12"/>
          </reference>
          <reference field="7" count="1" selected="0">
            <x v="5"/>
          </reference>
        </references>
      </pivotArea>
    </chartFormat>
    <chartFormat chart="5" format="130" series="1">
      <pivotArea type="data" outline="0" fieldPosition="0">
        <references count="3">
          <reference field="4294967294" count="1" selected="0">
            <x v="0"/>
          </reference>
          <reference field="0" count="1" selected="0">
            <x v="12"/>
          </reference>
          <reference field="7" count="1" selected="0">
            <x v="6"/>
          </reference>
        </references>
      </pivotArea>
    </chartFormat>
    <chartFormat chart="5" format="131" series="1">
      <pivotArea type="data" outline="0" fieldPosition="0">
        <references count="3">
          <reference field="4294967294" count="1" selected="0">
            <x v="0"/>
          </reference>
          <reference field="0" count="1" selected="0">
            <x v="12"/>
          </reference>
          <reference field="7" count="1" selected="0">
            <x v="9"/>
          </reference>
        </references>
      </pivotArea>
    </chartFormat>
    <chartFormat chart="5" format="132" series="1">
      <pivotArea type="data" outline="0" fieldPosition="0">
        <references count="3">
          <reference field="4294967294" count="1" selected="0">
            <x v="0"/>
          </reference>
          <reference field="0" count="1" selected="0">
            <x v="12"/>
          </reference>
          <reference field="7" count="1" selected="0">
            <x v="15"/>
          </reference>
        </references>
      </pivotArea>
    </chartFormat>
    <chartFormat chart="5" format="133" series="1">
      <pivotArea type="data" outline="0" fieldPosition="0">
        <references count="3">
          <reference field="4294967294" count="1" selected="0">
            <x v="0"/>
          </reference>
          <reference field="0" count="1" selected="0">
            <x v="12"/>
          </reference>
          <reference field="7" count="1" selected="0">
            <x v="19"/>
          </reference>
        </references>
      </pivotArea>
    </chartFormat>
    <chartFormat chart="5" format="134" series="1">
      <pivotArea type="data" outline="0" fieldPosition="0">
        <references count="3">
          <reference field="4294967294" count="1" selected="0">
            <x v="0"/>
          </reference>
          <reference field="0" count="1" selected="0">
            <x v="12"/>
          </reference>
          <reference field="7" count="1" selected="0">
            <x v="20"/>
          </reference>
        </references>
      </pivotArea>
    </chartFormat>
    <chartFormat chart="5" format="135" series="1">
      <pivotArea type="data" outline="0" fieldPosition="0">
        <references count="3">
          <reference field="4294967294" count="1" selected="0">
            <x v="0"/>
          </reference>
          <reference field="0" count="1" selected="0">
            <x v="12"/>
          </reference>
          <reference field="7" count="1" selected="0">
            <x v="22"/>
          </reference>
        </references>
      </pivotArea>
    </chartFormat>
    <chartFormat chart="5" format="136" series="1">
      <pivotArea type="data" outline="0" fieldPosition="0">
        <references count="3">
          <reference field="4294967294" count="1" selected="0">
            <x v="0"/>
          </reference>
          <reference field="0" count="1" selected="0">
            <x v="12"/>
          </reference>
          <reference field="7" count="1" selected="0">
            <x v="23"/>
          </reference>
        </references>
      </pivotArea>
    </chartFormat>
    <chartFormat chart="5" format="137" series="1">
      <pivotArea type="data" outline="0" fieldPosition="0">
        <references count="3">
          <reference field="4294967294" count="1" selected="0">
            <x v="0"/>
          </reference>
          <reference field="0" count="1" selected="0">
            <x v="13"/>
          </reference>
          <reference field="7" count="1" selected="0">
            <x v="3"/>
          </reference>
        </references>
      </pivotArea>
    </chartFormat>
    <chartFormat chart="5" format="138" series="1">
      <pivotArea type="data" outline="0" fieldPosition="0">
        <references count="3">
          <reference field="4294967294" count="1" selected="0">
            <x v="0"/>
          </reference>
          <reference field="0" count="1" selected="0">
            <x v="13"/>
          </reference>
          <reference field="7" count="1" selected="0">
            <x v="5"/>
          </reference>
        </references>
      </pivotArea>
    </chartFormat>
    <chartFormat chart="5" format="139" series="1">
      <pivotArea type="data" outline="0" fieldPosition="0">
        <references count="3">
          <reference field="4294967294" count="1" selected="0">
            <x v="0"/>
          </reference>
          <reference field="0" count="1" selected="0">
            <x v="13"/>
          </reference>
          <reference field="7" count="1" selected="0">
            <x v="9"/>
          </reference>
        </references>
      </pivotArea>
    </chartFormat>
    <chartFormat chart="5" format="140" series="1">
      <pivotArea type="data" outline="0" fieldPosition="0">
        <references count="3">
          <reference field="4294967294" count="1" selected="0">
            <x v="0"/>
          </reference>
          <reference field="0" count="1" selected="0">
            <x v="13"/>
          </reference>
          <reference field="7" count="1" selected="0">
            <x v="15"/>
          </reference>
        </references>
      </pivotArea>
    </chartFormat>
    <chartFormat chart="5" format="141" series="1">
      <pivotArea type="data" outline="0" fieldPosition="0">
        <references count="3">
          <reference field="4294967294" count="1" selected="0">
            <x v="0"/>
          </reference>
          <reference field="0" count="1" selected="0">
            <x v="13"/>
          </reference>
          <reference field="7" count="1" selected="0">
            <x v="19"/>
          </reference>
        </references>
      </pivotArea>
    </chartFormat>
    <chartFormat chart="5" format="142" series="1">
      <pivotArea type="data" outline="0" fieldPosition="0">
        <references count="3">
          <reference field="4294967294" count="1" selected="0">
            <x v="0"/>
          </reference>
          <reference field="0" count="1" selected="0">
            <x v="13"/>
          </reference>
          <reference field="7" count="1" selected="0">
            <x v="20"/>
          </reference>
        </references>
      </pivotArea>
    </chartFormat>
    <chartFormat chart="5" format="143" series="1">
      <pivotArea type="data" outline="0" fieldPosition="0">
        <references count="3">
          <reference field="4294967294" count="1" selected="0">
            <x v="0"/>
          </reference>
          <reference field="0" count="1" selected="0">
            <x v="13"/>
          </reference>
          <reference field="7" count="1" selected="0">
            <x v="22"/>
          </reference>
        </references>
      </pivotArea>
    </chartFormat>
    <chartFormat chart="5" format="144" series="1">
      <pivotArea type="data" outline="0" fieldPosition="0">
        <references count="3">
          <reference field="4294967294" count="1" selected="0">
            <x v="0"/>
          </reference>
          <reference field="0" count="1" selected="0">
            <x v="13"/>
          </reference>
          <reference field="7" count="1" selected="0">
            <x v="23"/>
          </reference>
        </references>
      </pivotArea>
    </chartFormat>
    <chartFormat chart="5" format="145" series="1">
      <pivotArea type="data" outline="0" fieldPosition="0">
        <references count="3">
          <reference field="4294967294" count="1" selected="0">
            <x v="0"/>
          </reference>
          <reference field="0" count="1" selected="0">
            <x v="14"/>
          </reference>
          <reference field="7" count="1" selected="0">
            <x v="3"/>
          </reference>
        </references>
      </pivotArea>
    </chartFormat>
    <chartFormat chart="5" format="146" series="1">
      <pivotArea type="data" outline="0" fieldPosition="0">
        <references count="3">
          <reference field="4294967294" count="1" selected="0">
            <x v="0"/>
          </reference>
          <reference field="0" count="1" selected="0">
            <x v="14"/>
          </reference>
          <reference field="7" count="1" selected="0">
            <x v="5"/>
          </reference>
        </references>
      </pivotArea>
    </chartFormat>
    <chartFormat chart="5" format="147" series="1">
      <pivotArea type="data" outline="0" fieldPosition="0">
        <references count="3">
          <reference field="4294967294" count="1" selected="0">
            <x v="0"/>
          </reference>
          <reference field="0" count="1" selected="0">
            <x v="14"/>
          </reference>
          <reference field="7" count="1" selected="0">
            <x v="6"/>
          </reference>
        </references>
      </pivotArea>
    </chartFormat>
    <chartFormat chart="5" format="148" series="1">
      <pivotArea type="data" outline="0" fieldPosition="0">
        <references count="3">
          <reference field="4294967294" count="1" selected="0">
            <x v="0"/>
          </reference>
          <reference field="0" count="1" selected="0">
            <x v="14"/>
          </reference>
          <reference field="7" count="1" selected="0">
            <x v="9"/>
          </reference>
        </references>
      </pivotArea>
    </chartFormat>
    <chartFormat chart="5" format="149" series="1">
      <pivotArea type="data" outline="0" fieldPosition="0">
        <references count="3">
          <reference field="4294967294" count="1" selected="0">
            <x v="0"/>
          </reference>
          <reference field="0" count="1" selected="0">
            <x v="14"/>
          </reference>
          <reference field="7" count="1" selected="0">
            <x v="15"/>
          </reference>
        </references>
      </pivotArea>
    </chartFormat>
    <chartFormat chart="5" format="150" series="1">
      <pivotArea type="data" outline="0" fieldPosition="0">
        <references count="3">
          <reference field="4294967294" count="1" selected="0">
            <x v="0"/>
          </reference>
          <reference field="0" count="1" selected="0">
            <x v="14"/>
          </reference>
          <reference field="7" count="1" selected="0">
            <x v="19"/>
          </reference>
        </references>
      </pivotArea>
    </chartFormat>
    <chartFormat chart="5" format="151" series="1">
      <pivotArea type="data" outline="0" fieldPosition="0">
        <references count="3">
          <reference field="4294967294" count="1" selected="0">
            <x v="0"/>
          </reference>
          <reference field="0" count="1" selected="0">
            <x v="14"/>
          </reference>
          <reference field="7" count="1" selected="0">
            <x v="22"/>
          </reference>
        </references>
      </pivotArea>
    </chartFormat>
    <chartFormat chart="5" format="152" series="1">
      <pivotArea type="data" outline="0" fieldPosition="0">
        <references count="3">
          <reference field="4294967294" count="1" selected="0">
            <x v="0"/>
          </reference>
          <reference field="0" count="1" selected="0">
            <x v="14"/>
          </reference>
          <reference field="7" count="1" selected="0">
            <x v="23"/>
          </reference>
        </references>
      </pivotArea>
    </chartFormat>
    <chartFormat chart="5" format="153" series="1">
      <pivotArea type="data" outline="0" fieldPosition="0">
        <references count="3">
          <reference field="4294967294" count="1" selected="0">
            <x v="0"/>
          </reference>
          <reference field="0" count="1" selected="0">
            <x v="15"/>
          </reference>
          <reference field="7" count="1" selected="0">
            <x v="15"/>
          </reference>
        </references>
      </pivotArea>
    </chartFormat>
    <chartFormat chart="5" format="154" series="1">
      <pivotArea type="data" outline="0" fieldPosition="0">
        <references count="3">
          <reference field="4294967294" count="1" selected="0">
            <x v="0"/>
          </reference>
          <reference field="0" count="1" selected="0">
            <x v="15"/>
          </reference>
          <reference field="7" count="1" selected="0">
            <x v="19"/>
          </reference>
        </references>
      </pivotArea>
    </chartFormat>
    <chartFormat chart="5" format="155" series="1">
      <pivotArea type="data" outline="0" fieldPosition="0">
        <references count="3">
          <reference field="4294967294" count="1" selected="0">
            <x v="0"/>
          </reference>
          <reference field="0" count="1" selected="0">
            <x v="16"/>
          </reference>
          <reference field="7" count="1" selected="0">
            <x v="2"/>
          </reference>
        </references>
      </pivotArea>
    </chartFormat>
    <chartFormat chart="5" format="156" series="1">
      <pivotArea type="data" outline="0" fieldPosition="0">
        <references count="3">
          <reference field="4294967294" count="1" selected="0">
            <x v="0"/>
          </reference>
          <reference field="0" count="1" selected="0">
            <x v="16"/>
          </reference>
          <reference field="7" count="1" selected="0">
            <x v="3"/>
          </reference>
        </references>
      </pivotArea>
    </chartFormat>
    <chartFormat chart="5" format="157" series="1">
      <pivotArea type="data" outline="0" fieldPosition="0">
        <references count="3">
          <reference field="4294967294" count="1" selected="0">
            <x v="0"/>
          </reference>
          <reference field="0" count="1" selected="0">
            <x v="16"/>
          </reference>
          <reference field="7" count="1" selected="0">
            <x v="5"/>
          </reference>
        </references>
      </pivotArea>
    </chartFormat>
    <chartFormat chart="5" format="158" series="1">
      <pivotArea type="data" outline="0" fieldPosition="0">
        <references count="3">
          <reference field="4294967294" count="1" selected="0">
            <x v="0"/>
          </reference>
          <reference field="0" count="1" selected="0">
            <x v="16"/>
          </reference>
          <reference field="7" count="1" selected="0">
            <x v="6"/>
          </reference>
        </references>
      </pivotArea>
    </chartFormat>
    <chartFormat chart="5" format="159" series="1">
      <pivotArea type="data" outline="0" fieldPosition="0">
        <references count="3">
          <reference field="4294967294" count="1" selected="0">
            <x v="0"/>
          </reference>
          <reference field="0" count="1" selected="0">
            <x v="16"/>
          </reference>
          <reference field="7" count="1" selected="0">
            <x v="9"/>
          </reference>
        </references>
      </pivotArea>
    </chartFormat>
    <chartFormat chart="5" format="160" series="1">
      <pivotArea type="data" outline="0" fieldPosition="0">
        <references count="3">
          <reference field="4294967294" count="1" selected="0">
            <x v="0"/>
          </reference>
          <reference field="0" count="1" selected="0">
            <x v="16"/>
          </reference>
          <reference field="7" count="1" selected="0">
            <x v="15"/>
          </reference>
        </references>
      </pivotArea>
    </chartFormat>
    <chartFormat chart="5" format="161" series="1">
      <pivotArea type="data" outline="0" fieldPosition="0">
        <references count="3">
          <reference field="4294967294" count="1" selected="0">
            <x v="0"/>
          </reference>
          <reference field="0" count="1" selected="0">
            <x v="16"/>
          </reference>
          <reference field="7" count="1" selected="0">
            <x v="19"/>
          </reference>
        </references>
      </pivotArea>
    </chartFormat>
    <chartFormat chart="5" format="162" series="1">
      <pivotArea type="data" outline="0" fieldPosition="0">
        <references count="3">
          <reference field="4294967294" count="1" selected="0">
            <x v="0"/>
          </reference>
          <reference field="0" count="1" selected="0">
            <x v="16"/>
          </reference>
          <reference field="7" count="1" selected="0">
            <x v="20"/>
          </reference>
        </references>
      </pivotArea>
    </chartFormat>
    <chartFormat chart="5" format="163" series="1">
      <pivotArea type="data" outline="0" fieldPosition="0">
        <references count="3">
          <reference field="4294967294" count="1" selected="0">
            <x v="0"/>
          </reference>
          <reference field="0" count="1" selected="0">
            <x v="16"/>
          </reference>
          <reference field="7" count="1" selected="0">
            <x v="22"/>
          </reference>
        </references>
      </pivotArea>
    </chartFormat>
    <chartFormat chart="5" format="164" series="1">
      <pivotArea type="data" outline="0" fieldPosition="0">
        <references count="3">
          <reference field="4294967294" count="1" selected="0">
            <x v="0"/>
          </reference>
          <reference field="0" count="1" selected="0">
            <x v="16"/>
          </reference>
          <reference field="7" count="1" selected="0">
            <x v="23"/>
          </reference>
        </references>
      </pivotArea>
    </chartFormat>
    <chartFormat chart="5" format="165" series="1">
      <pivotArea type="data" outline="0" fieldPosition="0">
        <references count="3">
          <reference field="4294967294" count="1" selected="0">
            <x v="0"/>
          </reference>
          <reference field="0" count="1" selected="0">
            <x v="17"/>
          </reference>
          <reference field="7" count="1" selected="0">
            <x v="5"/>
          </reference>
        </references>
      </pivotArea>
    </chartFormat>
    <chartFormat chart="5" format="166" series="1">
      <pivotArea type="data" outline="0" fieldPosition="0">
        <references count="3">
          <reference field="4294967294" count="1" selected="0">
            <x v="0"/>
          </reference>
          <reference field="0" count="1" selected="0">
            <x v="17"/>
          </reference>
          <reference field="7" count="1" selected="0">
            <x v="6"/>
          </reference>
        </references>
      </pivotArea>
    </chartFormat>
    <chartFormat chart="5" format="167" series="1">
      <pivotArea type="data" outline="0" fieldPosition="0">
        <references count="3">
          <reference field="4294967294" count="1" selected="0">
            <x v="0"/>
          </reference>
          <reference field="0" count="1" selected="0">
            <x v="17"/>
          </reference>
          <reference field="7" count="1" selected="0">
            <x v="15"/>
          </reference>
        </references>
      </pivotArea>
    </chartFormat>
    <chartFormat chart="5" format="168" series="1">
      <pivotArea type="data" outline="0" fieldPosition="0">
        <references count="3">
          <reference field="4294967294" count="1" selected="0">
            <x v="0"/>
          </reference>
          <reference field="0" count="1" selected="0">
            <x v="17"/>
          </reference>
          <reference field="7" count="1" selected="0">
            <x v="19"/>
          </reference>
        </references>
      </pivotArea>
    </chartFormat>
    <chartFormat chart="5" format="169" series="1">
      <pivotArea type="data" outline="0" fieldPosition="0">
        <references count="3">
          <reference field="4294967294" count="1" selected="0">
            <x v="0"/>
          </reference>
          <reference field="0" count="1" selected="0">
            <x v="17"/>
          </reference>
          <reference field="7" count="1" selected="0">
            <x v="20"/>
          </reference>
        </references>
      </pivotArea>
    </chartFormat>
    <chartFormat chart="5" format="170" series="1">
      <pivotArea type="data" outline="0" fieldPosition="0">
        <references count="3">
          <reference field="4294967294" count="1" selected="0">
            <x v="0"/>
          </reference>
          <reference field="0" count="1" selected="0">
            <x v="17"/>
          </reference>
          <reference field="7" count="1" selected="0">
            <x v="22"/>
          </reference>
        </references>
      </pivotArea>
    </chartFormat>
    <chartFormat chart="5" format="171" series="1">
      <pivotArea type="data" outline="0" fieldPosition="0">
        <references count="3">
          <reference field="4294967294" count="1" selected="0">
            <x v="0"/>
          </reference>
          <reference field="0" count="1" selected="0">
            <x v="17"/>
          </reference>
          <reference field="7" count="1" selected="0">
            <x v="23"/>
          </reference>
        </references>
      </pivotArea>
    </chartFormat>
    <chartFormat chart="5" format="172" series="1">
      <pivotArea type="data" outline="0" fieldPosition="0">
        <references count="3">
          <reference field="4294967294" count="1" selected="0">
            <x v="0"/>
          </reference>
          <reference field="0" count="1" selected="0">
            <x v="18"/>
          </reference>
          <reference field="7" count="1" selected="0">
            <x v="2"/>
          </reference>
        </references>
      </pivotArea>
    </chartFormat>
    <chartFormat chart="5" format="173" series="1">
      <pivotArea type="data" outline="0" fieldPosition="0">
        <references count="3">
          <reference field="4294967294" count="1" selected="0">
            <x v="0"/>
          </reference>
          <reference field="0" count="1" selected="0">
            <x v="18"/>
          </reference>
          <reference field="7" count="1" selected="0">
            <x v="3"/>
          </reference>
        </references>
      </pivotArea>
    </chartFormat>
    <chartFormat chart="5" format="174" series="1">
      <pivotArea type="data" outline="0" fieldPosition="0">
        <references count="3">
          <reference field="4294967294" count="1" selected="0">
            <x v="0"/>
          </reference>
          <reference field="0" count="1" selected="0">
            <x v="18"/>
          </reference>
          <reference field="7" count="1" selected="0">
            <x v="5"/>
          </reference>
        </references>
      </pivotArea>
    </chartFormat>
    <chartFormat chart="5" format="175" series="1">
      <pivotArea type="data" outline="0" fieldPosition="0">
        <references count="3">
          <reference field="4294967294" count="1" selected="0">
            <x v="0"/>
          </reference>
          <reference field="0" count="1" selected="0">
            <x v="18"/>
          </reference>
          <reference field="7" count="1" selected="0">
            <x v="6"/>
          </reference>
        </references>
      </pivotArea>
    </chartFormat>
    <chartFormat chart="5" format="176" series="1">
      <pivotArea type="data" outline="0" fieldPosition="0">
        <references count="3">
          <reference field="4294967294" count="1" selected="0">
            <x v="0"/>
          </reference>
          <reference field="0" count="1" selected="0">
            <x v="18"/>
          </reference>
          <reference field="7" count="1" selected="0">
            <x v="15"/>
          </reference>
        </references>
      </pivotArea>
    </chartFormat>
    <chartFormat chart="5" format="177" series="1">
      <pivotArea type="data" outline="0" fieldPosition="0">
        <references count="3">
          <reference field="4294967294" count="1" selected="0">
            <x v="0"/>
          </reference>
          <reference field="0" count="1" selected="0">
            <x v="18"/>
          </reference>
          <reference field="7" count="1" selected="0">
            <x v="19"/>
          </reference>
        </references>
      </pivotArea>
    </chartFormat>
    <chartFormat chart="5" format="178" series="1">
      <pivotArea type="data" outline="0" fieldPosition="0">
        <references count="3">
          <reference field="4294967294" count="1" selected="0">
            <x v="0"/>
          </reference>
          <reference field="0" count="1" selected="0">
            <x v="18"/>
          </reference>
          <reference field="7" count="1" selected="0">
            <x v="20"/>
          </reference>
        </references>
      </pivotArea>
    </chartFormat>
    <chartFormat chart="5" format="179" series="1">
      <pivotArea type="data" outline="0" fieldPosition="0">
        <references count="3">
          <reference field="4294967294" count="1" selected="0">
            <x v="0"/>
          </reference>
          <reference field="0" count="1" selected="0">
            <x v="18"/>
          </reference>
          <reference field="7" count="1" selected="0">
            <x v="23"/>
          </reference>
        </references>
      </pivotArea>
    </chartFormat>
    <chartFormat chart="5" format="180" series="1">
      <pivotArea type="data" outline="0" fieldPosition="0">
        <references count="3">
          <reference field="4294967294" count="1" selected="0">
            <x v="0"/>
          </reference>
          <reference field="0" count="1" selected="0">
            <x v="19"/>
          </reference>
          <reference field="7" count="1" selected="0">
            <x v="2"/>
          </reference>
        </references>
      </pivotArea>
    </chartFormat>
    <chartFormat chart="5" format="181" series="1">
      <pivotArea type="data" outline="0" fieldPosition="0">
        <references count="3">
          <reference field="4294967294" count="1" selected="0">
            <x v="0"/>
          </reference>
          <reference field="0" count="1" selected="0">
            <x v="19"/>
          </reference>
          <reference field="7" count="1" selected="0">
            <x v="15"/>
          </reference>
        </references>
      </pivotArea>
    </chartFormat>
    <chartFormat chart="5" format="182" series="1">
      <pivotArea type="data" outline="0" fieldPosition="0">
        <references count="3">
          <reference field="4294967294" count="1" selected="0">
            <x v="0"/>
          </reference>
          <reference field="0" count="1" selected="0">
            <x v="19"/>
          </reference>
          <reference field="7" count="1" selected="0">
            <x v="19"/>
          </reference>
        </references>
      </pivotArea>
    </chartFormat>
    <chartFormat chart="5" format="183" series="1">
      <pivotArea type="data" outline="0" fieldPosition="0">
        <references count="3">
          <reference field="4294967294" count="1" selected="0">
            <x v="0"/>
          </reference>
          <reference field="0" count="1" selected="0">
            <x v="19"/>
          </reference>
          <reference field="7" count="1" selected="0">
            <x v="20"/>
          </reference>
        </references>
      </pivotArea>
    </chartFormat>
    <chartFormat chart="5" format="184" series="1">
      <pivotArea type="data" outline="0" fieldPosition="0">
        <references count="3">
          <reference field="4294967294" count="1" selected="0">
            <x v="0"/>
          </reference>
          <reference field="0" count="1" selected="0">
            <x v="19"/>
          </reference>
          <reference field="7" count="1" selected="0">
            <x v="22"/>
          </reference>
        </references>
      </pivotArea>
    </chartFormat>
    <chartFormat chart="5" format="185" series="1">
      <pivotArea type="data" outline="0" fieldPosition="0">
        <references count="3">
          <reference field="4294967294" count="1" selected="0">
            <x v="0"/>
          </reference>
          <reference field="0" count="1" selected="0">
            <x v="19"/>
          </reference>
          <reference field="7" count="1" selected="0">
            <x v="23"/>
          </reference>
        </references>
      </pivotArea>
    </chartFormat>
    <chartFormat chart="5" format="186" series="1">
      <pivotArea type="data" outline="0" fieldPosition="0">
        <references count="2">
          <reference field="4294967294" count="1" selected="0">
            <x v="0"/>
          </reference>
          <reference field="7" count="1" selected="0">
            <x v="5"/>
          </reference>
        </references>
      </pivotArea>
    </chartFormat>
    <chartFormat chart="5" format="187" series="1">
      <pivotArea type="data" outline="0" fieldPosition="0">
        <references count="2">
          <reference field="4294967294" count="1" selected="0">
            <x v="0"/>
          </reference>
          <reference field="7" count="1" selected="0">
            <x v="6"/>
          </reference>
        </references>
      </pivotArea>
    </chartFormat>
    <chartFormat chart="5" format="188" series="1">
      <pivotArea type="data" outline="0" fieldPosition="0">
        <references count="2">
          <reference field="4294967294" count="1" selected="0">
            <x v="0"/>
          </reference>
          <reference field="7" count="1" selected="0">
            <x v="8"/>
          </reference>
        </references>
      </pivotArea>
    </chartFormat>
    <chartFormat chart="5" format="189" series="1">
      <pivotArea type="data" outline="0" fieldPosition="0">
        <references count="2">
          <reference field="4294967294" count="1" selected="0">
            <x v="0"/>
          </reference>
          <reference field="7" count="1" selected="0">
            <x v="9"/>
          </reference>
        </references>
      </pivotArea>
    </chartFormat>
    <chartFormat chart="5" format="190" series="1">
      <pivotArea type="data" outline="0" fieldPosition="0">
        <references count="2">
          <reference field="4294967294" count="1" selected="0">
            <x v="0"/>
          </reference>
          <reference field="7" count="1" selected="0">
            <x v="10"/>
          </reference>
        </references>
      </pivotArea>
    </chartFormat>
    <chartFormat chart="5" format="191" series="1">
      <pivotArea type="data" outline="0" fieldPosition="0">
        <references count="2">
          <reference field="4294967294" count="1" selected="0">
            <x v="0"/>
          </reference>
          <reference field="7" count="1" selected="0">
            <x v="11"/>
          </reference>
        </references>
      </pivotArea>
    </chartFormat>
    <chartFormat chart="0" format="156" series="1">
      <pivotArea type="data" outline="0" fieldPosition="0">
        <references count="2">
          <reference field="4294967294" count="1" selected="0">
            <x v="0"/>
          </reference>
          <reference field="7" count="1" selected="0">
            <x v="6"/>
          </reference>
        </references>
      </pivotArea>
    </chartFormat>
    <chartFormat chart="0" format="157" series="1">
      <pivotArea type="data" outline="0" fieldPosition="0">
        <references count="2">
          <reference field="4294967294" count="1" selected="0">
            <x v="0"/>
          </reference>
          <reference field="7" count="1" selected="0">
            <x v="8"/>
          </reference>
        </references>
      </pivotArea>
    </chartFormat>
    <chartFormat chart="0" format="158" series="1">
      <pivotArea type="data" outline="0" fieldPosition="0">
        <references count="2">
          <reference field="4294967294" count="1" selected="0">
            <x v="0"/>
          </reference>
          <reference field="7" count="1" selected="0">
            <x v="9"/>
          </reference>
        </references>
      </pivotArea>
    </chartFormat>
    <chartFormat chart="0" format="159" series="1">
      <pivotArea type="data" outline="0" fieldPosition="0">
        <references count="2">
          <reference field="4294967294" count="1" selected="0">
            <x v="0"/>
          </reference>
          <reference field="7" count="1" selected="0">
            <x v="11"/>
          </reference>
        </references>
      </pivotArea>
    </chartFormat>
    <chartFormat chart="0" format="160" series="1">
      <pivotArea type="data" outline="0" fieldPosition="0">
        <references count="2">
          <reference field="4294967294" count="1" selected="0">
            <x v="0"/>
          </reference>
          <reference field="7" count="1" selected="0">
            <x v="28"/>
          </reference>
        </references>
      </pivotArea>
    </chartFormat>
    <chartFormat chart="5" format="192" series="1">
      <pivotArea type="data" outline="0" fieldPosition="0">
        <references count="2">
          <reference field="4294967294" count="1" selected="0">
            <x v="0"/>
          </reference>
          <reference field="7" count="1" selected="0">
            <x v="28"/>
          </reference>
        </references>
      </pivotArea>
    </chartFormat>
    <chartFormat chart="5" format="193" series="1">
      <pivotArea type="data" outline="0" fieldPosition="0">
        <references count="2">
          <reference field="4294967294" count="1" selected="0">
            <x v="0"/>
          </reference>
          <reference field="7" count="1" selected="0">
            <x v="3"/>
          </reference>
        </references>
      </pivotArea>
    </chartFormat>
    <chartFormat chart="5" format="194" series="1">
      <pivotArea type="data" outline="0" fieldPosition="0">
        <references count="2">
          <reference field="4294967294" count="1" selected="0">
            <x v="0"/>
          </reference>
          <reference field="7" count="1" selected="0">
            <x v="19"/>
          </reference>
        </references>
      </pivotArea>
    </chartFormat>
    <chartFormat chart="5" format="195" series="1">
      <pivotArea type="data" outline="0" fieldPosition="0">
        <references count="2">
          <reference field="4294967294" count="1" selected="0">
            <x v="0"/>
          </reference>
          <reference field="7" count="1" selected="0">
            <x v="20"/>
          </reference>
        </references>
      </pivotArea>
    </chartFormat>
    <chartFormat chart="5" format="196" series="1">
      <pivotArea type="data" outline="0" fieldPosition="0">
        <references count="2">
          <reference field="4294967294" count="1" selected="0">
            <x v="0"/>
          </reference>
          <reference field="7" count="1" selected="0">
            <x v="23"/>
          </reference>
        </references>
      </pivotArea>
    </chartFormat>
    <chartFormat chart="5" format="197" series="1">
      <pivotArea type="data" outline="0" fieldPosition="0">
        <references count="2">
          <reference field="4294967294" count="1" selected="0">
            <x v="0"/>
          </reference>
          <reference field="7" count="1" selected="0">
            <x v="15"/>
          </reference>
        </references>
      </pivotArea>
    </chartFormat>
    <chartFormat chart="5" format="198" series="1">
      <pivotArea type="data" outline="0" fieldPosition="0">
        <references count="2">
          <reference field="4294967294" count="1" selected="0">
            <x v="0"/>
          </reference>
          <reference field="7" count="1" selected="0">
            <x v="22"/>
          </reference>
        </references>
      </pivotArea>
    </chartFormat>
    <chartFormat chart="5" format="199" series="1">
      <pivotArea type="data" outline="0" fieldPosition="0">
        <references count="2">
          <reference field="4294967294" count="1" selected="0">
            <x v="0"/>
          </reference>
          <reference field="7" count="1" selected="0">
            <x v="2"/>
          </reference>
        </references>
      </pivotArea>
    </chartFormat>
    <chartFormat chart="5" format="200" series="1">
      <pivotArea type="data" outline="0" fieldPosition="0">
        <references count="2">
          <reference field="4294967294" count="1" selected="0">
            <x v="0"/>
          </reference>
          <reference field="7"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A0418F-63D7-4142-9828-892BAC902B82}" name="Tableau croisé dynamique4"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71:A72" firstHeaderRow="1" firstDataRow="1" firstDataCol="0"/>
  <pivotFields count="13">
    <pivotField numFmtId="14" showAll="0"/>
    <pivotField showAll="0"/>
    <pivotField showAll="0">
      <items count="78">
        <item x="38"/>
        <item m="1" x="64"/>
        <item x="49"/>
        <item x="44"/>
        <item x="52"/>
        <item x="48"/>
        <item m="1" x="66"/>
        <item x="45"/>
        <item m="1" x="69"/>
        <item x="28"/>
        <item m="1" x="74"/>
        <item x="7"/>
        <item x="5"/>
        <item m="1" x="61"/>
        <item m="1" x="62"/>
        <item x="36"/>
        <item x="14"/>
        <item m="1" x="75"/>
        <item m="1" x="73"/>
        <item m="1" x="71"/>
        <item x="50"/>
        <item x="25"/>
        <item x="20"/>
        <item x="9"/>
        <item x="54"/>
        <item x="26"/>
        <item x="19"/>
        <item x="18"/>
        <item x="15"/>
        <item x="17"/>
        <item x="41"/>
        <item x="24"/>
        <item m="1" x="59"/>
        <item m="1" x="68"/>
        <item x="30"/>
        <item x="29"/>
        <item x="31"/>
        <item x="4"/>
        <item x="2"/>
        <item x="3"/>
        <item x="22"/>
        <item x="37"/>
        <item m="1" x="65"/>
        <item x="8"/>
        <item x="42"/>
        <item x="6"/>
        <item x="10"/>
        <item x="12"/>
        <item x="1"/>
        <item m="1" x="72"/>
        <item x="51"/>
        <item m="1" x="70"/>
        <item m="1" x="56"/>
        <item m="1" x="60"/>
        <item m="1" x="57"/>
        <item x="35"/>
        <item x="34"/>
        <item x="40"/>
        <item x="11"/>
        <item x="43"/>
        <item m="1" x="67"/>
        <item x="23"/>
        <item x="46"/>
        <item x="27"/>
        <item x="32"/>
        <item x="47"/>
        <item m="1" x="58"/>
        <item x="39"/>
        <item x="0"/>
        <item x="16"/>
        <item x="13"/>
        <item x="53"/>
        <item m="1" x="63"/>
        <item m="1" x="55"/>
        <item x="21"/>
        <item x="33"/>
        <item m="1" x="76"/>
        <item t="default"/>
      </items>
    </pivotField>
    <pivotField showAll="0"/>
    <pivotField showAll="0">
      <items count="11">
        <item h="1" x="4"/>
        <item h="1" x="3"/>
        <item h="1" x="5"/>
        <item h="1" x="7"/>
        <item h="1" x="1"/>
        <item h="1" x="6"/>
        <item h="1" x="2"/>
        <item x="0"/>
        <item h="1" m="1" x="9"/>
        <item h="1" m="1" x="8"/>
        <item t="default"/>
      </items>
    </pivotField>
    <pivotField showAll="0">
      <items count="5">
        <item h="1" x="0"/>
        <item h="1" x="3"/>
        <item h="1" x="2"/>
        <item x="1"/>
        <item t="default"/>
      </items>
    </pivotField>
    <pivotField showAll="0"/>
    <pivotField showAll="0">
      <items count="33">
        <item x="15"/>
        <item m="1" x="22"/>
        <item x="4"/>
        <item x="5"/>
        <item x="18"/>
        <item m="1" x="19"/>
        <item x="0"/>
        <item m="1" x="21"/>
        <item x="7"/>
        <item x="6"/>
        <item m="1" x="20"/>
        <item x="8"/>
        <item m="1" x="30"/>
        <item m="1" x="29"/>
        <item x="13"/>
        <item x="3"/>
        <item x="12"/>
        <item m="1" x="27"/>
        <item m="1" x="28"/>
        <item x="1"/>
        <item x="2"/>
        <item m="1" x="31"/>
        <item x="10"/>
        <item x="9"/>
        <item m="1" x="23"/>
        <item m="1" x="24"/>
        <item m="1" x="25"/>
        <item m="1" x="26"/>
        <item x="11"/>
        <item x="14"/>
        <item x="16"/>
        <item x="17"/>
        <item t="default"/>
      </items>
    </pivotField>
    <pivotField dataField="1" showAll="0"/>
    <pivotField showAll="0"/>
    <pivotField showAll="0"/>
    <pivotField showAll="0"/>
    <pivotField showAll="0">
      <items count="11">
        <item x="4"/>
        <item x="5"/>
        <item x="3"/>
        <item x="1"/>
        <item x="0"/>
        <item x="2"/>
        <item x="6"/>
        <item x="7"/>
        <item x="8"/>
        <item x="9"/>
        <item t="default"/>
      </items>
    </pivotField>
  </pivotFields>
  <rowItems count="1">
    <i/>
  </rowItems>
  <colItems count="1">
    <i/>
  </colItems>
  <dataFields count="1">
    <dataField name="Vent Tot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4ECBB-6B87-4385-B19E-CAADC9708E16}" name="Tableau croisé dynamique3"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9:B49" firstHeaderRow="1" firstDataRow="1" firstDataCol="1" rowPageCount="3" colPageCount="1"/>
  <pivotFields count="13">
    <pivotField axis="axisPage" numFmtId="14" multipleItemSelectionAllowed="1" showAll="0">
      <items count="33">
        <item m="1" x="12"/>
        <item m="1" x="13"/>
        <item m="1" x="14"/>
        <item m="1" x="15"/>
        <item m="1" x="16"/>
        <item m="1" x="17"/>
        <item m="1" x="18"/>
        <item m="1" x="19"/>
        <item m="1" x="20"/>
        <item m="1" x="21"/>
        <item m="1" x="22"/>
        <item m="1" x="23"/>
        <item m="1" x="24"/>
        <item m="1" x="25"/>
        <item m="1" x="26"/>
        <item m="1" x="27"/>
        <item m="1" x="28"/>
        <item m="1" x="29"/>
        <item m="1" x="30"/>
        <item m="1" x="31"/>
        <item h="1" x="0"/>
        <item h="1" x="1"/>
        <item h="1" x="2"/>
        <item h="1" x="3"/>
        <item h="1" x="4"/>
        <item h="1" x="5"/>
        <item h="1" x="6"/>
        <item h="1" x="7"/>
        <item h="1" x="8"/>
        <item h="1" x="9"/>
        <item h="1" x="10"/>
        <item x="11"/>
        <item t="default"/>
      </items>
    </pivotField>
    <pivotField showAll="0"/>
    <pivotField axis="axisPage" showAll="0">
      <items count="78">
        <item x="38"/>
        <item m="1" x="64"/>
        <item x="44"/>
        <item x="52"/>
        <item x="48"/>
        <item m="1" x="66"/>
        <item x="45"/>
        <item m="1" x="69"/>
        <item x="28"/>
        <item m="1" x="74"/>
        <item x="7"/>
        <item x="5"/>
        <item m="1" x="61"/>
        <item m="1" x="62"/>
        <item x="36"/>
        <item x="14"/>
        <item m="1" x="75"/>
        <item m="1" x="73"/>
        <item m="1" x="71"/>
        <item x="25"/>
        <item x="20"/>
        <item x="9"/>
        <item x="26"/>
        <item x="19"/>
        <item x="18"/>
        <item x="15"/>
        <item x="17"/>
        <item x="41"/>
        <item x="24"/>
        <item m="1" x="59"/>
        <item m="1" x="68"/>
        <item x="30"/>
        <item x="29"/>
        <item x="31"/>
        <item x="4"/>
        <item x="2"/>
        <item x="3"/>
        <item x="22"/>
        <item m="1" x="65"/>
        <item x="8"/>
        <item x="42"/>
        <item x="6"/>
        <item x="10"/>
        <item x="12"/>
        <item x="1"/>
        <item m="1" x="72"/>
        <item m="1" x="70"/>
        <item m="1" x="56"/>
        <item m="1" x="60"/>
        <item m="1" x="57"/>
        <item x="35"/>
        <item x="34"/>
        <item x="40"/>
        <item x="11"/>
        <item x="43"/>
        <item m="1" x="67"/>
        <item x="27"/>
        <item x="32"/>
        <item m="1" x="58"/>
        <item x="0"/>
        <item x="16"/>
        <item x="13"/>
        <item m="1" x="63"/>
        <item m="1" x="55"/>
        <item x="21"/>
        <item x="33"/>
        <item m="1" x="76"/>
        <item x="23"/>
        <item x="37"/>
        <item x="39"/>
        <item x="46"/>
        <item x="47"/>
        <item x="49"/>
        <item x="50"/>
        <item x="51"/>
        <item x="53"/>
        <item x="54"/>
        <item t="default"/>
      </items>
    </pivotField>
    <pivotField showAll="0"/>
    <pivotField axis="axisPage" multipleItemSelectionAllowed="1" showAll="0">
      <items count="11">
        <item x="4"/>
        <item x="3"/>
        <item x="5"/>
        <item x="7"/>
        <item x="1"/>
        <item x="6"/>
        <item x="2"/>
        <item x="0"/>
        <item m="1" x="9"/>
        <item m="1" x="8"/>
        <item t="default"/>
      </items>
    </pivotField>
    <pivotField showAll="0"/>
    <pivotField showAll="0"/>
    <pivotField axis="axisRow" showAll="0">
      <items count="33">
        <item x="15"/>
        <item m="1" x="22"/>
        <item x="4"/>
        <item x="5"/>
        <item x="18"/>
        <item m="1" x="19"/>
        <item x="0"/>
        <item m="1" x="21"/>
        <item x="7"/>
        <item x="6"/>
        <item m="1" x="20"/>
        <item x="8"/>
        <item m="1" x="30"/>
        <item m="1" x="29"/>
        <item h="1" x="13"/>
        <item h="1" x="3"/>
        <item x="12"/>
        <item m="1" x="27"/>
        <item m="1" x="28"/>
        <item x="1"/>
        <item x="2"/>
        <item m="1" x="31"/>
        <item x="10"/>
        <item x="9"/>
        <item m="1" x="23"/>
        <item m="1" x="24"/>
        <item m="1" x="25"/>
        <item m="1" x="26"/>
        <item x="11"/>
        <item x="14"/>
        <item x="16"/>
        <item h="1" x="17"/>
        <item t="default"/>
      </items>
    </pivotField>
    <pivotField dataField="1" showAll="0"/>
    <pivotField showAll="0"/>
    <pivotField showAll="0"/>
    <pivotField showAll="0"/>
    <pivotField showAll="0">
      <items count="11">
        <item x="4"/>
        <item x="5"/>
        <item x="3"/>
        <item x="1"/>
        <item x="0"/>
        <item x="2"/>
        <item x="6"/>
        <item x="7"/>
        <item x="8"/>
        <item x="9"/>
        <item t="default"/>
      </items>
    </pivotField>
  </pivotFields>
  <rowFields count="1">
    <field x="7"/>
  </rowFields>
  <rowItems count="10">
    <i>
      <x v="2"/>
    </i>
    <i>
      <x v="3"/>
    </i>
    <i>
      <x v="6"/>
    </i>
    <i>
      <x v="16"/>
    </i>
    <i>
      <x v="19"/>
    </i>
    <i>
      <x v="20"/>
    </i>
    <i>
      <x v="22"/>
    </i>
    <i>
      <x v="28"/>
    </i>
    <i>
      <x v="30"/>
    </i>
    <i t="grand">
      <x/>
    </i>
  </rowItems>
  <colItems count="1">
    <i/>
  </colItems>
  <pageFields count="3">
    <pageField fld="2" hier="-1"/>
    <pageField fld="4" hier="-1"/>
    <pageField fld="0" hier="-1"/>
  </pageFields>
  <dataFields count="1">
    <dataField name="Somme de Quantité" fld="8" baseField="0" baseItem="0" numFmtId="3"/>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EA347D-4F4C-41E9-B130-D5F9E94F81DD}" name="Tableau croisé dynamique2"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29:B30" firstHeaderRow="1" firstDataRow="1" firstDataCol="1" rowPageCount="2" colPageCount="1"/>
  <pivotFields count="13">
    <pivotField axis="axisPage" numFmtId="14" multipleItemSelectionAllowed="1" showAll="0">
      <items count="33">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m="1" x="31"/>
        <item h="1" x="0"/>
        <item h="1" x="1"/>
        <item h="1" x="2"/>
        <item h="1" x="3"/>
        <item h="1" x="4"/>
        <item h="1" x="5"/>
        <item h="1" x="6"/>
        <item h="1" x="7"/>
        <item h="1" x="8"/>
        <item h="1" x="9"/>
        <item h="1" x="10"/>
        <item h="1" x="11"/>
        <item t="default"/>
      </items>
    </pivotField>
    <pivotField showAll="0"/>
    <pivotField showAll="0"/>
    <pivotField showAll="0"/>
    <pivotField showAll="0"/>
    <pivotField axis="axisPage" multipleItemSelectionAllowed="1" showAll="0">
      <items count="5">
        <item x="0"/>
        <item x="3"/>
        <item x="2"/>
        <item x="1"/>
        <item t="default"/>
      </items>
    </pivotField>
    <pivotField showAll="0"/>
    <pivotField axis="axisRow" showAll="0">
      <items count="33">
        <item x="15"/>
        <item m="1" x="22"/>
        <item x="4"/>
        <item x="5"/>
        <item x="18"/>
        <item m="1" x="19"/>
        <item x="0"/>
        <item m="1" x="21"/>
        <item x="7"/>
        <item x="6"/>
        <item m="1" x="20"/>
        <item x="8"/>
        <item m="1" x="30"/>
        <item m="1" x="29"/>
        <item x="13"/>
        <item x="3"/>
        <item x="12"/>
        <item m="1" x="27"/>
        <item m="1" x="28"/>
        <item x="1"/>
        <item x="2"/>
        <item m="1" x="31"/>
        <item x="10"/>
        <item x="9"/>
        <item m="1" x="23"/>
        <item m="1" x="24"/>
        <item m="1" x="25"/>
        <item m="1" x="26"/>
        <item x="11"/>
        <item x="14"/>
        <item x="16"/>
        <item x="17"/>
        <item t="default"/>
      </items>
    </pivotField>
    <pivotField dataField="1" showAll="0"/>
    <pivotField showAll="0"/>
    <pivotField showAll="0"/>
    <pivotField showAll="0"/>
    <pivotField showAll="0">
      <items count="11">
        <item n="B2B" sd="0" x="4"/>
        <item n="CIVIL" sd="0" x="5"/>
        <item n="MDN" sd="0" x="3"/>
        <item sd="0" x="1"/>
        <item sd="0" x="0"/>
        <item sd="0" x="2"/>
        <item x="6"/>
        <item x="7"/>
        <item x="8"/>
        <item x="9"/>
        <item t="default"/>
      </items>
    </pivotField>
  </pivotFields>
  <rowFields count="1">
    <field x="7"/>
  </rowFields>
  <rowItems count="1">
    <i t="grand">
      <x/>
    </i>
  </rowItems>
  <colItems count="1">
    <i/>
  </colItems>
  <pageFields count="2">
    <pageField fld="0" hier="-1"/>
    <pageField fld="5" hier="-1"/>
  </pageFields>
  <dataFields count="1">
    <dataField name="Somme de Quantité"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F09CEF-ECFC-4E14-917A-AEF671D5C3EE}" autoFormatId="16" applyNumberFormats="0" applyBorderFormats="0" applyFontFormats="0" applyPatternFormats="0" applyAlignmentFormats="0" applyWidthHeightFormats="0">
  <queryTableRefresh nextId="14">
    <queryTableFields count="11">
      <queryTableField id="1" name="Date" tableColumnId="1"/>
      <queryTableField id="12" name="Customer" tableColumnId="12"/>
      <queryTableField id="2" name="Client" tableColumnId="2"/>
      <queryTableField id="3" name="Client Père" tableColumnId="3"/>
      <queryTableField id="4" name="Famille" tableColumnId="4"/>
      <queryTableField id="6" name="Produit" tableColumnId="6"/>
      <queryTableField id="7" name="Désignation" tableColumnId="7"/>
      <queryTableField id="8" name="Quantité" tableColumnId="8"/>
      <queryTableField id="9" name="P.U / H.T" tableColumnId="9"/>
      <queryTableField id="10" name="Valeur  HT" tableColumnId="10"/>
      <queryTableField id="11" name="Valeur TTC" tableColumnId="11"/>
    </queryTableFields>
    <queryTableDeletedFields count="1">
      <deletedField name="Type Produi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Client" xr10:uid="{BF66E52C-C841-4527-924A-BCF0835CDDCC}" sourceName="Client">
  <pivotTables>
    <pivotTable tabId="6" name="Tableau croisé dynamique1"/>
    <pivotTable tabId="6" name="Tableau croisé dynamique4"/>
    <pivotTable tabId="5" name="Tableau croisé dynamique5"/>
  </pivotTables>
  <data>
    <tabular pivotCacheId="823543310">
      <items count="77">
        <i x="28" s="1"/>
        <i x="7" s="1"/>
        <i x="5" s="1"/>
        <i x="36" s="1"/>
        <i x="14" s="1"/>
        <i x="50" s="1"/>
        <i x="25" s="1"/>
        <i x="20" s="1"/>
        <i x="9" s="1"/>
        <i x="54" s="1"/>
        <i x="26" s="1"/>
        <i x="4" s="1"/>
        <i x="2" s="1"/>
        <i x="3" s="1"/>
        <i x="22" s="1"/>
        <i x="8" s="1"/>
        <i x="42" s="1"/>
        <i x="6" s="1"/>
        <i x="10" s="1"/>
        <i x="12" s="1"/>
        <i x="1" s="1"/>
        <i x="51" s="1"/>
        <i x="35" s="1"/>
        <i x="11" s="1"/>
        <i x="43" s="1"/>
        <i x="23" s="1"/>
        <i x="27" s="1"/>
        <i x="0" s="1"/>
        <i x="13" s="1"/>
        <i x="53" s="1"/>
        <i x="21" s="1"/>
        <i x="33" s="1"/>
        <i x="38" s="1" nd="1"/>
        <i x="64" s="1" nd="1"/>
        <i x="49" s="1" nd="1"/>
        <i x="44" s="1" nd="1"/>
        <i x="52" s="1" nd="1"/>
        <i x="48" s="1" nd="1"/>
        <i x="66" s="1" nd="1"/>
        <i x="45" s="1" nd="1"/>
        <i x="69" s="1" nd="1"/>
        <i x="74" s="1" nd="1"/>
        <i x="61" s="1" nd="1"/>
        <i x="62" s="1" nd="1"/>
        <i x="75" s="1" nd="1"/>
        <i x="73" s="1" nd="1"/>
        <i x="71" s="1" nd="1"/>
        <i x="19" s="1" nd="1"/>
        <i x="18" s="1" nd="1"/>
        <i x="15" s="1" nd="1"/>
        <i x="17" s="1" nd="1"/>
        <i x="41" s="1" nd="1"/>
        <i x="24" s="1" nd="1"/>
        <i x="59" s="1" nd="1"/>
        <i x="68" s="1" nd="1"/>
        <i x="30" s="1" nd="1"/>
        <i x="29" s="1" nd="1"/>
        <i x="31" s="1" nd="1"/>
        <i x="37" s="1" nd="1"/>
        <i x="65" s="1" nd="1"/>
        <i x="72" s="1" nd="1"/>
        <i x="70" s="1" nd="1"/>
        <i x="56" s="1" nd="1"/>
        <i x="60" s="1" nd="1"/>
        <i x="57" s="1" nd="1"/>
        <i x="34" s="1" nd="1"/>
        <i x="40" s="1" nd="1"/>
        <i x="67" s="1" nd="1"/>
        <i x="46" s="1" nd="1"/>
        <i x="32" s="1" nd="1"/>
        <i x="47" s="1" nd="1"/>
        <i x="58" s="1" nd="1"/>
        <i x="39" s="1" nd="1"/>
        <i x="16" s="1" nd="1"/>
        <i x="63" s="1" nd="1"/>
        <i x="55" s="1" nd="1"/>
        <i x="7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Famille" xr10:uid="{3A1DBD19-C23F-4107-B81F-97E0C283A49C}" sourceName="Famille">
  <pivotTables>
    <pivotTable tabId="6" name="Tableau croisé dynamique1"/>
    <pivotTable tabId="6" name="Tableau croisé dynamique4"/>
    <pivotTable tabId="5" name="Tableau croisé dynamique5"/>
  </pivotTables>
  <data>
    <tabular pivotCacheId="823543310">
      <items count="10">
        <i x="4"/>
        <i x="3"/>
        <i x="5"/>
        <i x="7"/>
        <i x="1"/>
        <i x="6"/>
        <i x="2"/>
        <i x="0" s="1"/>
        <i x="9"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Type_Produit" xr10:uid="{95BFC981-6471-410E-A146-7AD1639879D1}" sourceName="Type Produit">
  <pivotTables>
    <pivotTable tabId="6" name="Tableau croisé dynamique1"/>
    <pivotTable tabId="6" name="Tableau croisé dynamique4"/>
    <pivotTable tabId="5" name="Tableau croisé dynamique5"/>
  </pivotTables>
  <data>
    <tabular pivotCacheId="823543310">
      <items count="4">
        <i x="0"/>
        <i x="3"/>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1" xr10:uid="{EC0342DB-DC70-4B3C-BCF5-BC60FE2B8FF9}" cache="Segment_Client" caption="Client" startItem="42" rowHeight="241300"/>
  <slicer name="Famille 2" xr10:uid="{F30F3547-8DA9-472E-B8F6-038C46E9C456}" cache="Segment_Famille" caption="Famille" startItem="5" rowHeight="241300"/>
  <slicer name="Type Produit 1" xr10:uid="{1DAFFDE1-8C64-4480-90D4-2C299583EE34}" cache="Segment_Type_Produit" caption="Type Produi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xr10:uid="{D06265F5-7C49-49A9-A81F-AA43DF77760A}" cache="Segment_Client" caption="Client" startItem="55" rowHeight="241300"/>
  <slicer name="Famille" xr10:uid="{E7D0B3B5-9B54-4191-9015-A9A27CDFC53B}" cache="Segment_Famille" caption="Famille" startItem="2" rowHeight="241300"/>
  <slicer name="Famille 1" xr10:uid="{5360544C-4201-4C0A-87C0-AA3DEBB7D3BA}" cache="Segment_Famille" caption="Famille" startItem="2" rowHeight="241300"/>
  <slicer name="Type Produit" xr10:uid="{8D87E210-8367-46E3-8FCB-D69E5CBFA772}" cache="Segment_Type_Produit" caption="Type Produi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2EB80B-6C66-4417-A0A5-CCA937269C48}" name="Sheet1" displayName="Sheet1" ref="A1:K321" tableType="queryTable" totalsRowShown="0">
  <autoFilter ref="A1:K321" xr:uid="{8F2EB80B-6C66-4417-A0A5-CCA937269C48}"/>
  <tableColumns count="11">
    <tableColumn id="1" xr3:uid="{E9072EBD-A2DE-4A86-ACC4-9FD568D05B38}" uniqueName="1" name="Date" queryTableFieldId="1" dataDxfId="5"/>
    <tableColumn id="12" xr3:uid="{67462355-DE0F-445D-A551-A8B0EC7B9608}" uniqueName="12" name="Customer" queryTableFieldId="12"/>
    <tableColumn id="2" xr3:uid="{B64255BE-7758-483E-B204-8EBB0F11A95F}" uniqueName="2" name="Client" queryTableFieldId="2" dataDxfId="4"/>
    <tableColumn id="3" xr3:uid="{ABA3ECB1-B29A-438A-92BC-AC678B47632D}" uniqueName="3" name="Client Père" queryTableFieldId="3" dataDxfId="3"/>
    <tableColumn id="4" xr3:uid="{876CC9C0-E23F-4FD3-BFF2-E399F4C0871C}" uniqueName="4" name="Famille" queryTableFieldId="4" dataDxfId="2"/>
    <tableColumn id="6" xr3:uid="{466A477D-39DB-4735-B648-9EE88D41E734}" uniqueName="6" name="Produit" queryTableFieldId="6" dataDxfId="1"/>
    <tableColumn id="7" xr3:uid="{C42918F0-CE00-4CEB-9A3B-3B9FF7ECD8BD}" uniqueName="7" name="Désignation" queryTableFieldId="7" dataDxfId="0"/>
    <tableColumn id="8" xr3:uid="{2FA155E6-DAD0-4373-A1AB-7620EB21E850}" uniqueName="8" name="Quantité" queryTableFieldId="8"/>
    <tableColumn id="9" xr3:uid="{A520118B-135D-476D-AB2F-7BDEC166E5E7}" uniqueName="9" name="P.U / H.T" queryTableFieldId="9"/>
    <tableColumn id="10" xr3:uid="{3BB9B846-E980-4B1A-ACB2-6C6F0FB0D6CB}" uniqueName="10" name="Valeur  HT" queryTableFieldId="10"/>
    <tableColumn id="11" xr3:uid="{5D75BF75-B956-471F-B433-6EBD08D02A5A}" uniqueName="11" name="Valeur TTC"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F34B8-D471-4DAA-8492-34C15481F88A}">
  <dimension ref="B1:B2"/>
  <sheetViews>
    <sheetView workbookViewId="0">
      <selection activeCell="N17" sqref="N17"/>
    </sheetView>
  </sheetViews>
  <sheetFormatPr baseColWidth="10" defaultColWidth="11.42578125" defaultRowHeight="15" x14ac:dyDescent="0.25"/>
  <cols>
    <col min="2" max="2" width="16.140625" bestFit="1" customWidth="1"/>
  </cols>
  <sheetData>
    <row r="1" spans="2:2" ht="17.25" x14ac:dyDescent="0.35">
      <c r="B1" s="5" t="s">
        <v>65</v>
      </c>
    </row>
    <row r="2" spans="2:2" ht="17.25" x14ac:dyDescent="0.35">
      <c r="B2" s="6">
        <v>1656480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071F0-B67D-4813-BC8C-ABAF3DB45C25}">
  <dimension ref="A1:F72"/>
  <sheetViews>
    <sheetView topLeftCell="A34" workbookViewId="0">
      <selection activeCell="A40" sqref="A40:A48"/>
      <pivotSelection pane="bottomRight" showHeader="1" axis="axisRow" activeRow="39" previousRow="39" click="1" r:id="rId3">
        <pivotArea dataOnly="0" labelOnly="1" fieldPosition="0">
          <references count="1">
            <reference field="7" count="0"/>
          </references>
        </pivotArea>
      </pivotSelection>
    </sheetView>
  </sheetViews>
  <sheetFormatPr baseColWidth="10" defaultColWidth="11.42578125" defaultRowHeight="15" x14ac:dyDescent="0.25"/>
  <cols>
    <col min="1" max="1" width="47.7109375" bestFit="1" customWidth="1"/>
    <col min="2" max="2" width="19" bestFit="1" customWidth="1"/>
    <col min="3" max="3" width="36.85546875" bestFit="1" customWidth="1"/>
    <col min="4" max="5" width="38.7109375" bestFit="1" customWidth="1"/>
    <col min="6" max="7" width="11.28515625" bestFit="1" customWidth="1"/>
    <col min="8" max="8" width="24.28515625" bestFit="1" customWidth="1"/>
    <col min="9" max="10" width="38.7109375" bestFit="1" customWidth="1"/>
    <col min="11" max="12" width="15.140625" bestFit="1" customWidth="1"/>
    <col min="13" max="13" width="32.42578125" bestFit="1" customWidth="1"/>
    <col min="14" max="14" width="11.28515625" bestFit="1" customWidth="1"/>
    <col min="15" max="15" width="12.5703125" bestFit="1" customWidth="1"/>
    <col min="16" max="16" width="24.140625" bestFit="1" customWidth="1"/>
    <col min="17" max="17" width="38.42578125" bestFit="1" customWidth="1"/>
    <col min="18" max="19" width="15" bestFit="1" customWidth="1"/>
    <col min="20" max="20" width="15.5703125" bestFit="1" customWidth="1"/>
    <col min="21" max="22" width="36.7109375" bestFit="1" customWidth="1"/>
    <col min="23" max="24" width="26" bestFit="1" customWidth="1"/>
    <col min="25" max="25" width="34.140625" bestFit="1" customWidth="1"/>
    <col min="26" max="26" width="31.85546875" bestFit="1" customWidth="1"/>
    <col min="27" max="27" width="24.140625" bestFit="1" customWidth="1"/>
    <col min="28" max="29" width="38.42578125" bestFit="1" customWidth="1"/>
    <col min="30" max="31" width="15" bestFit="1" customWidth="1"/>
    <col min="32" max="32" width="15.5703125" bestFit="1" customWidth="1"/>
    <col min="33" max="34" width="36.7109375" bestFit="1" customWidth="1"/>
    <col min="35" max="36" width="26" bestFit="1" customWidth="1"/>
    <col min="37" max="37" width="24.140625" bestFit="1" customWidth="1"/>
    <col min="38" max="39" width="38.42578125" bestFit="1" customWidth="1"/>
    <col min="40" max="41" width="15" bestFit="1" customWidth="1"/>
    <col min="42" max="42" width="15.5703125" bestFit="1" customWidth="1"/>
    <col min="43" max="44" width="36.7109375" bestFit="1" customWidth="1"/>
    <col min="45" max="46" width="26" bestFit="1" customWidth="1"/>
    <col min="47" max="47" width="24.140625" bestFit="1" customWidth="1"/>
    <col min="48" max="49" width="38.42578125" bestFit="1" customWidth="1"/>
    <col min="50" max="51" width="15" bestFit="1" customWidth="1"/>
    <col min="52" max="52" width="15.5703125" bestFit="1" customWidth="1"/>
    <col min="53" max="53" width="36.7109375" bestFit="1" customWidth="1"/>
    <col min="54" max="54" width="26" bestFit="1" customWidth="1"/>
    <col min="55" max="55" width="34.140625" bestFit="1" customWidth="1"/>
    <col min="56" max="56" width="30.42578125" bestFit="1" customWidth="1"/>
    <col min="57" max="57" width="24.140625" bestFit="1" customWidth="1"/>
    <col min="58" max="58" width="38.42578125" bestFit="1" customWidth="1"/>
    <col min="59" max="59" width="15" bestFit="1" customWidth="1"/>
    <col min="60" max="60" width="15.5703125" bestFit="1" customWidth="1"/>
    <col min="61" max="61" width="26" bestFit="1" customWidth="1"/>
    <col min="62" max="62" width="30.42578125" bestFit="1" customWidth="1"/>
    <col min="63" max="63" width="24.140625" bestFit="1" customWidth="1"/>
    <col min="64" max="64" width="38.42578125" bestFit="1" customWidth="1"/>
    <col min="65" max="65" width="15" bestFit="1" customWidth="1"/>
    <col min="66" max="66" width="15.5703125" bestFit="1" customWidth="1"/>
    <col min="67" max="67" width="26" bestFit="1" customWidth="1"/>
    <col min="68" max="68" width="24.140625" bestFit="1" customWidth="1"/>
    <col min="69" max="69" width="38.42578125" bestFit="1" customWidth="1"/>
    <col min="70" max="70" width="15.5703125" bestFit="1" customWidth="1"/>
    <col min="71" max="71" width="36.7109375" bestFit="1" customWidth="1"/>
    <col min="72" max="73" width="26" bestFit="1" customWidth="1"/>
    <col min="74" max="74" width="34.140625" bestFit="1" customWidth="1"/>
    <col min="75" max="75" width="30.42578125" bestFit="1" customWidth="1"/>
    <col min="76" max="76" width="24.140625" bestFit="1" customWidth="1"/>
    <col min="77" max="77" width="38.42578125" bestFit="1" customWidth="1"/>
    <col min="78" max="79" width="15" bestFit="1" customWidth="1"/>
    <col min="80" max="80" width="15.5703125" bestFit="1" customWidth="1"/>
    <col min="81" max="82" width="36.7109375" bestFit="1" customWidth="1"/>
    <col min="83" max="84" width="26" bestFit="1" customWidth="1"/>
    <col min="85" max="85" width="30.42578125" bestFit="1" customWidth="1"/>
    <col min="86" max="86" width="24.140625" bestFit="1" customWidth="1"/>
    <col min="87" max="88" width="38.42578125" bestFit="1" customWidth="1"/>
    <col min="89" max="90" width="15" bestFit="1" customWidth="1"/>
    <col min="91" max="91" width="15.5703125" bestFit="1" customWidth="1"/>
    <col min="92" max="92" width="36.7109375" bestFit="1" customWidth="1"/>
    <col min="93" max="93" width="26" bestFit="1" customWidth="1"/>
    <col min="94" max="94" width="30.42578125" bestFit="1" customWidth="1"/>
    <col min="95" max="95" width="24.140625" bestFit="1" customWidth="1"/>
    <col min="96" max="97" width="38.42578125" bestFit="1" customWidth="1"/>
    <col min="98" max="99" width="15" bestFit="1" customWidth="1"/>
    <col min="100" max="100" width="15.5703125" bestFit="1" customWidth="1"/>
    <col min="101" max="101" width="36.7109375" bestFit="1" customWidth="1"/>
    <col min="102" max="103" width="26" bestFit="1" customWidth="1"/>
    <col min="104" max="104" width="30.42578125" bestFit="1" customWidth="1"/>
    <col min="105" max="105" width="24.140625" bestFit="1" customWidth="1"/>
    <col min="106" max="106" width="38.42578125" bestFit="1" customWidth="1"/>
    <col min="107" max="108" width="15" bestFit="1" customWidth="1"/>
    <col min="109" max="109" width="15.5703125" bestFit="1" customWidth="1"/>
    <col min="110" max="110" width="24.140625" bestFit="1" customWidth="1"/>
    <col min="111" max="111" width="38.42578125" bestFit="1" customWidth="1"/>
    <col min="112" max="112" width="15.5703125" bestFit="1" customWidth="1"/>
    <col min="113" max="114" width="36.7109375" bestFit="1" customWidth="1"/>
    <col min="115" max="116" width="26" bestFit="1" customWidth="1"/>
    <col min="117" max="117" width="30.42578125" bestFit="1" customWidth="1"/>
    <col min="118" max="118" width="24.140625" bestFit="1" customWidth="1"/>
    <col min="119" max="120" width="38.42578125" bestFit="1" customWidth="1"/>
    <col min="121" max="122" width="15" bestFit="1" customWidth="1"/>
    <col min="123" max="123" width="15.5703125" bestFit="1" customWidth="1"/>
    <col min="124" max="125" width="26" bestFit="1" customWidth="1"/>
    <col min="126" max="126" width="24.140625" bestFit="1" customWidth="1"/>
    <col min="127" max="128" width="38.42578125" bestFit="1" customWidth="1"/>
    <col min="129" max="130" width="15" bestFit="1" customWidth="1"/>
    <col min="131" max="131" width="15.5703125" bestFit="1" customWidth="1"/>
    <col min="132" max="133" width="36.7109375" bestFit="1" customWidth="1"/>
    <col min="134" max="135" width="26" bestFit="1" customWidth="1"/>
    <col min="136" max="136" width="24.140625" bestFit="1" customWidth="1"/>
    <col min="137" max="138" width="38.42578125" bestFit="1" customWidth="1"/>
    <col min="139" max="139" width="15" bestFit="1" customWidth="1"/>
    <col min="140" max="140" width="15.5703125" bestFit="1" customWidth="1"/>
    <col min="141" max="141" width="36.7109375" bestFit="1" customWidth="1"/>
    <col min="142" max="142" width="24.140625" bestFit="1" customWidth="1"/>
    <col min="143" max="144" width="38.42578125" bestFit="1" customWidth="1"/>
    <col min="145" max="146" width="15" bestFit="1" customWidth="1"/>
    <col min="147" max="147" width="15.5703125" bestFit="1" customWidth="1"/>
    <col min="148" max="148" width="12.5703125" bestFit="1" customWidth="1"/>
  </cols>
  <sheetData>
    <row r="1" spans="1:6" x14ac:dyDescent="0.25">
      <c r="A1" s="2" t="s">
        <v>4</v>
      </c>
      <c r="B1" t="s">
        <v>11</v>
      </c>
    </row>
    <row r="2" spans="1:6" x14ac:dyDescent="0.25">
      <c r="A2" s="2" t="s">
        <v>66</v>
      </c>
      <c r="B2" t="s">
        <v>73</v>
      </c>
    </row>
    <row r="4" spans="1:6" x14ac:dyDescent="0.25">
      <c r="A4" s="2" t="s">
        <v>64</v>
      </c>
      <c r="B4" s="2" t="s">
        <v>70</v>
      </c>
    </row>
    <row r="5" spans="1:6" x14ac:dyDescent="0.25">
      <c r="A5" s="2" t="s">
        <v>71</v>
      </c>
      <c r="B5" t="s">
        <v>13</v>
      </c>
      <c r="C5" t="s">
        <v>15</v>
      </c>
      <c r="D5" t="s">
        <v>19</v>
      </c>
      <c r="E5" t="s">
        <v>21</v>
      </c>
      <c r="F5" t="s">
        <v>72</v>
      </c>
    </row>
    <row r="6" spans="1:6" x14ac:dyDescent="0.25">
      <c r="A6" s="3">
        <v>45662</v>
      </c>
      <c r="B6">
        <v>91200</v>
      </c>
      <c r="C6">
        <v>25200</v>
      </c>
      <c r="D6">
        <v>136800</v>
      </c>
      <c r="E6">
        <v>164400</v>
      </c>
      <c r="F6">
        <v>417600</v>
      </c>
    </row>
    <row r="7" spans="1:6" x14ac:dyDescent="0.25">
      <c r="A7" s="3">
        <v>45663</v>
      </c>
      <c r="E7">
        <v>93600</v>
      </c>
      <c r="F7">
        <v>93600</v>
      </c>
    </row>
    <row r="8" spans="1:6" x14ac:dyDescent="0.25">
      <c r="A8" s="3">
        <v>45664</v>
      </c>
      <c r="B8">
        <v>1680</v>
      </c>
      <c r="C8">
        <v>1200</v>
      </c>
      <c r="E8">
        <v>36000</v>
      </c>
      <c r="F8">
        <v>38880</v>
      </c>
    </row>
    <row r="9" spans="1:6" x14ac:dyDescent="0.25">
      <c r="A9" s="3">
        <v>45665</v>
      </c>
      <c r="E9">
        <v>54000</v>
      </c>
      <c r="F9">
        <v>54000</v>
      </c>
    </row>
    <row r="10" spans="1:6" x14ac:dyDescent="0.25">
      <c r="A10" s="3">
        <v>45666</v>
      </c>
      <c r="D10">
        <v>134400</v>
      </c>
      <c r="E10">
        <v>63600</v>
      </c>
      <c r="F10">
        <v>198000</v>
      </c>
    </row>
    <row r="11" spans="1:6" x14ac:dyDescent="0.25">
      <c r="A11" s="3">
        <v>45670</v>
      </c>
      <c r="D11">
        <v>105600</v>
      </c>
      <c r="E11">
        <v>66000</v>
      </c>
      <c r="F11">
        <v>171600</v>
      </c>
    </row>
    <row r="12" spans="1:6" x14ac:dyDescent="0.25">
      <c r="A12" s="3">
        <v>45671</v>
      </c>
      <c r="D12">
        <v>115200</v>
      </c>
      <c r="E12">
        <v>49200</v>
      </c>
      <c r="F12">
        <v>164400</v>
      </c>
    </row>
    <row r="13" spans="1:6" x14ac:dyDescent="0.25">
      <c r="A13" s="3">
        <v>45672</v>
      </c>
      <c r="E13">
        <v>24000</v>
      </c>
      <c r="F13">
        <v>24000</v>
      </c>
    </row>
    <row r="14" spans="1:6" x14ac:dyDescent="0.25">
      <c r="A14" s="3">
        <v>45673</v>
      </c>
      <c r="B14">
        <v>163200</v>
      </c>
      <c r="C14">
        <v>32400</v>
      </c>
      <c r="E14">
        <v>26400</v>
      </c>
      <c r="F14">
        <v>222000</v>
      </c>
    </row>
    <row r="15" spans="1:6" x14ac:dyDescent="0.25">
      <c r="A15" s="3">
        <v>45676</v>
      </c>
      <c r="B15">
        <v>52800</v>
      </c>
      <c r="C15">
        <v>14400</v>
      </c>
      <c r="D15">
        <v>2400</v>
      </c>
      <c r="E15">
        <v>1200</v>
      </c>
      <c r="F15">
        <v>70800</v>
      </c>
    </row>
    <row r="16" spans="1:6" x14ac:dyDescent="0.25">
      <c r="A16" s="3">
        <v>45677</v>
      </c>
      <c r="B16">
        <v>9600</v>
      </c>
      <c r="C16">
        <v>19200</v>
      </c>
      <c r="D16">
        <v>9600</v>
      </c>
      <c r="E16">
        <v>52800</v>
      </c>
      <c r="F16">
        <v>91200</v>
      </c>
    </row>
    <row r="17" spans="1:6" x14ac:dyDescent="0.25">
      <c r="A17" s="3">
        <v>45678</v>
      </c>
      <c r="B17">
        <v>16800</v>
      </c>
      <c r="C17">
        <v>10800</v>
      </c>
      <c r="D17">
        <v>28800</v>
      </c>
      <c r="E17">
        <v>54000</v>
      </c>
      <c r="F17">
        <v>110400</v>
      </c>
    </row>
    <row r="18" spans="1:6" x14ac:dyDescent="0.25">
      <c r="A18" s="3" t="s">
        <v>72</v>
      </c>
      <c r="B18">
        <v>335280</v>
      </c>
      <c r="C18">
        <v>103200</v>
      </c>
      <c r="D18">
        <v>532800</v>
      </c>
      <c r="E18">
        <v>685200</v>
      </c>
      <c r="F18">
        <v>1656480</v>
      </c>
    </row>
    <row r="26" spans="1:6" x14ac:dyDescent="0.25">
      <c r="A26" s="2" t="s">
        <v>0</v>
      </c>
      <c r="B26" t="s">
        <v>74</v>
      </c>
    </row>
    <row r="27" spans="1:6" x14ac:dyDescent="0.25">
      <c r="A27" s="2" t="s">
        <v>4</v>
      </c>
      <c r="B27" t="s">
        <v>73</v>
      </c>
    </row>
    <row r="29" spans="1:6" x14ac:dyDescent="0.25">
      <c r="A29" s="2" t="s">
        <v>71</v>
      </c>
      <c r="B29" t="s">
        <v>64</v>
      </c>
    </row>
    <row r="30" spans="1:6" x14ac:dyDescent="0.25">
      <c r="A30" s="4" t="s">
        <v>72</v>
      </c>
    </row>
    <row r="35" spans="1:2" x14ac:dyDescent="0.25">
      <c r="A35" s="2" t="s">
        <v>1</v>
      </c>
      <c r="B35" t="s">
        <v>73</v>
      </c>
    </row>
    <row r="36" spans="1:2" x14ac:dyDescent="0.25">
      <c r="A36" s="2" t="s">
        <v>3</v>
      </c>
      <c r="B36" t="s">
        <v>73</v>
      </c>
    </row>
    <row r="37" spans="1:2" x14ac:dyDescent="0.25">
      <c r="A37" s="2" t="s">
        <v>0</v>
      </c>
      <c r="B37" s="3">
        <v>45678</v>
      </c>
    </row>
    <row r="39" spans="1:2" x14ac:dyDescent="0.25">
      <c r="A39" s="2" t="s">
        <v>71</v>
      </c>
      <c r="B39" t="s">
        <v>64</v>
      </c>
    </row>
    <row r="40" spans="1:2" x14ac:dyDescent="0.25">
      <c r="A40" s="4" t="s">
        <v>13</v>
      </c>
      <c r="B40" s="7">
        <v>16800</v>
      </c>
    </row>
    <row r="41" spans="1:2" x14ac:dyDescent="0.25">
      <c r="A41" s="4" t="s">
        <v>15</v>
      </c>
      <c r="B41" s="7">
        <v>10800</v>
      </c>
    </row>
    <row r="42" spans="1:2" x14ac:dyDescent="0.25">
      <c r="A42" s="4" t="s">
        <v>17</v>
      </c>
      <c r="B42" s="7">
        <v>3600</v>
      </c>
    </row>
    <row r="43" spans="1:2" x14ac:dyDescent="0.25">
      <c r="A43" s="4" t="s">
        <v>79</v>
      </c>
      <c r="B43" s="7">
        <v>20000</v>
      </c>
    </row>
    <row r="44" spans="1:2" x14ac:dyDescent="0.25">
      <c r="A44" s="4" t="s">
        <v>19</v>
      </c>
      <c r="B44" s="7">
        <v>28800</v>
      </c>
    </row>
    <row r="45" spans="1:2" x14ac:dyDescent="0.25">
      <c r="A45" s="4" t="s">
        <v>21</v>
      </c>
      <c r="B45" s="7">
        <v>54000</v>
      </c>
    </row>
    <row r="46" spans="1:2" x14ac:dyDescent="0.25">
      <c r="A46" s="4" t="s">
        <v>46</v>
      </c>
      <c r="B46" s="7">
        <v>9600</v>
      </c>
    </row>
    <row r="47" spans="1:2" x14ac:dyDescent="0.25">
      <c r="A47" s="4" t="s">
        <v>68</v>
      </c>
      <c r="B47" s="7">
        <v>26400</v>
      </c>
    </row>
    <row r="48" spans="1:2" x14ac:dyDescent="0.25">
      <c r="A48" s="4" t="s">
        <v>120</v>
      </c>
      <c r="B48" s="7">
        <v>920</v>
      </c>
    </row>
    <row r="49" spans="1:2" x14ac:dyDescent="0.25">
      <c r="A49" s="4" t="s">
        <v>72</v>
      </c>
      <c r="B49" s="7">
        <v>170920</v>
      </c>
    </row>
    <row r="71" spans="1:1" x14ac:dyDescent="0.25">
      <c r="A71" t="s">
        <v>65</v>
      </c>
    </row>
    <row r="72" spans="1:1" x14ac:dyDescent="0.25">
      <c r="A72">
        <v>1656480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BEDB-CEA4-4575-80F5-DE6957D02A51}">
  <dimension ref="A1:K321"/>
  <sheetViews>
    <sheetView tabSelected="1" topLeftCell="D1" workbookViewId="0">
      <selection activeCell="I9" sqref="I9"/>
    </sheetView>
  </sheetViews>
  <sheetFormatPr baseColWidth="10" defaultColWidth="9.140625" defaultRowHeight="15" x14ac:dyDescent="0.25"/>
  <cols>
    <col min="1" max="1" width="10.7109375" bestFit="1" customWidth="1"/>
    <col min="2" max="2" width="11.85546875" bestFit="1" customWidth="1"/>
    <col min="3" max="3" width="43.42578125" bestFit="1" customWidth="1"/>
    <col min="4" max="4" width="43.7109375" bestFit="1" customWidth="1"/>
    <col min="5" max="5" width="13.5703125" bestFit="1" customWidth="1"/>
    <col min="6" max="6" width="13.140625" bestFit="1" customWidth="1"/>
    <col min="7" max="7" width="47.7109375" bestFit="1" customWidth="1"/>
    <col min="8" max="8" width="11.140625" bestFit="1" customWidth="1"/>
    <col min="9" max="9" width="12" bestFit="1" customWidth="1"/>
    <col min="10" max="10" width="12.28515625" bestFit="1" customWidth="1"/>
    <col min="11" max="11" width="12.7109375" customWidth="1"/>
  </cols>
  <sheetData>
    <row r="1" spans="1:11" x14ac:dyDescent="0.25">
      <c r="A1" t="s">
        <v>0</v>
      </c>
      <c r="B1" t="s">
        <v>144</v>
      </c>
      <c r="C1" t="s">
        <v>1</v>
      </c>
      <c r="D1" t="s">
        <v>2</v>
      </c>
      <c r="E1" t="s">
        <v>3</v>
      </c>
      <c r="F1" t="s">
        <v>5</v>
      </c>
      <c r="G1" t="s">
        <v>6</v>
      </c>
      <c r="H1" t="s">
        <v>7</v>
      </c>
      <c r="I1" t="s">
        <v>8</v>
      </c>
      <c r="J1" t="s">
        <v>9</v>
      </c>
      <c r="K1" t="s">
        <v>10</v>
      </c>
    </row>
    <row r="2" spans="1:11" x14ac:dyDescent="0.25">
      <c r="A2" s="1">
        <v>45662</v>
      </c>
      <c r="B2" t="s">
        <v>145</v>
      </c>
      <c r="C2" t="s">
        <v>47</v>
      </c>
      <c r="D2" t="s">
        <v>48</v>
      </c>
      <c r="E2" t="s">
        <v>27</v>
      </c>
      <c r="F2" t="s">
        <v>16</v>
      </c>
      <c r="G2" t="s">
        <v>17</v>
      </c>
      <c r="H2">
        <v>4800</v>
      </c>
      <c r="I2">
        <v>198.31932773109199</v>
      </c>
      <c r="J2">
        <v>951932.77310924197</v>
      </c>
      <c r="K2">
        <v>1132800</v>
      </c>
    </row>
    <row r="3" spans="1:11" x14ac:dyDescent="0.25">
      <c r="A3" s="1">
        <v>45662</v>
      </c>
      <c r="B3" t="s">
        <v>145</v>
      </c>
      <c r="C3" t="s">
        <v>47</v>
      </c>
      <c r="D3" t="s">
        <v>48</v>
      </c>
      <c r="E3" t="s">
        <v>27</v>
      </c>
      <c r="F3" t="s">
        <v>18</v>
      </c>
      <c r="G3" t="s">
        <v>19</v>
      </c>
      <c r="H3">
        <v>24000</v>
      </c>
      <c r="I3">
        <v>126.05042016806701</v>
      </c>
      <c r="J3">
        <v>3025210.0840336098</v>
      </c>
      <c r="K3">
        <v>3600000</v>
      </c>
    </row>
    <row r="4" spans="1:11" x14ac:dyDescent="0.25">
      <c r="A4" s="1">
        <v>45662</v>
      </c>
      <c r="B4" t="s">
        <v>145</v>
      </c>
      <c r="C4" t="s">
        <v>47</v>
      </c>
      <c r="D4" t="s">
        <v>48</v>
      </c>
      <c r="E4" t="s">
        <v>27</v>
      </c>
      <c r="F4" t="s">
        <v>20</v>
      </c>
      <c r="G4" t="s">
        <v>21</v>
      </c>
      <c r="H4">
        <v>8400</v>
      </c>
      <c r="I4">
        <v>231.09243697478999</v>
      </c>
      <c r="J4">
        <v>1941176.4705882401</v>
      </c>
      <c r="K4">
        <v>2310000.0000000098</v>
      </c>
    </row>
    <row r="5" spans="1:11" x14ac:dyDescent="0.25">
      <c r="A5" s="1">
        <v>45662</v>
      </c>
      <c r="B5" t="s">
        <v>146</v>
      </c>
      <c r="C5" t="s">
        <v>47</v>
      </c>
      <c r="D5" t="s">
        <v>48</v>
      </c>
      <c r="E5" t="s">
        <v>27</v>
      </c>
      <c r="F5" t="s">
        <v>22</v>
      </c>
      <c r="G5" t="s">
        <v>23</v>
      </c>
      <c r="H5">
        <v>16</v>
      </c>
      <c r="I5">
        <v>0</v>
      </c>
      <c r="J5">
        <v>0</v>
      </c>
      <c r="K5">
        <v>0</v>
      </c>
    </row>
    <row r="6" spans="1:11" x14ac:dyDescent="0.25">
      <c r="A6" s="1">
        <v>45662</v>
      </c>
      <c r="B6" t="s">
        <v>145</v>
      </c>
      <c r="C6" t="s">
        <v>54</v>
      </c>
      <c r="D6" t="s">
        <v>55</v>
      </c>
      <c r="E6" t="s">
        <v>27</v>
      </c>
      <c r="F6" t="s">
        <v>18</v>
      </c>
      <c r="G6" t="s">
        <v>19</v>
      </c>
      <c r="H6">
        <v>12000</v>
      </c>
      <c r="I6">
        <v>126.05042016806701</v>
      </c>
      <c r="J6">
        <v>1512605.0420168</v>
      </c>
      <c r="K6">
        <v>1800000</v>
      </c>
    </row>
    <row r="7" spans="1:11" x14ac:dyDescent="0.25">
      <c r="A7" s="1">
        <v>45662</v>
      </c>
      <c r="B7" t="s">
        <v>145</v>
      </c>
      <c r="C7" t="s">
        <v>54</v>
      </c>
      <c r="D7" t="s">
        <v>55</v>
      </c>
      <c r="E7" t="s">
        <v>27</v>
      </c>
      <c r="F7" t="s">
        <v>20</v>
      </c>
      <c r="G7" t="s">
        <v>21</v>
      </c>
      <c r="H7">
        <v>18000</v>
      </c>
      <c r="I7">
        <v>231.09243697478999</v>
      </c>
      <c r="J7">
        <v>4159663.86554622</v>
      </c>
      <c r="K7">
        <v>4950000</v>
      </c>
    </row>
    <row r="8" spans="1:11" x14ac:dyDescent="0.25">
      <c r="A8" s="1">
        <v>45662</v>
      </c>
      <c r="B8" t="s">
        <v>146</v>
      </c>
      <c r="C8" t="s">
        <v>54</v>
      </c>
      <c r="D8" t="s">
        <v>55</v>
      </c>
      <c r="E8" t="s">
        <v>27</v>
      </c>
      <c r="F8" t="s">
        <v>22</v>
      </c>
      <c r="G8" t="s">
        <v>23</v>
      </c>
      <c r="H8">
        <v>16</v>
      </c>
      <c r="I8">
        <v>0</v>
      </c>
      <c r="J8">
        <v>0</v>
      </c>
      <c r="K8">
        <v>0</v>
      </c>
    </row>
    <row r="9" spans="1:11" x14ac:dyDescent="0.25">
      <c r="A9" s="1">
        <v>45662</v>
      </c>
      <c r="B9" t="s">
        <v>145</v>
      </c>
      <c r="C9" t="s">
        <v>52</v>
      </c>
      <c r="D9" t="s">
        <v>52</v>
      </c>
      <c r="E9" t="s">
        <v>27</v>
      </c>
      <c r="F9" t="s">
        <v>12</v>
      </c>
      <c r="G9" t="s">
        <v>13</v>
      </c>
      <c r="H9">
        <v>31200</v>
      </c>
      <c r="I9">
        <v>96.6386554621849</v>
      </c>
      <c r="J9">
        <v>3015126.0504201702</v>
      </c>
      <c r="K9">
        <v>3588000</v>
      </c>
    </row>
    <row r="10" spans="1:11" x14ac:dyDescent="0.25">
      <c r="A10" s="1">
        <v>45662</v>
      </c>
      <c r="B10" t="s">
        <v>146</v>
      </c>
      <c r="C10" t="s">
        <v>52</v>
      </c>
      <c r="D10" t="s">
        <v>52</v>
      </c>
      <c r="E10" t="s">
        <v>27</v>
      </c>
      <c r="F10" t="s">
        <v>14</v>
      </c>
      <c r="G10" t="s">
        <v>15</v>
      </c>
      <c r="H10">
        <v>6000</v>
      </c>
      <c r="I10">
        <v>178.99159663865501</v>
      </c>
      <c r="J10">
        <v>1073949.5798319301</v>
      </c>
      <c r="K10">
        <v>1278000</v>
      </c>
    </row>
    <row r="11" spans="1:11" x14ac:dyDescent="0.25">
      <c r="A11" s="1">
        <v>45662</v>
      </c>
      <c r="B11" t="s">
        <v>146</v>
      </c>
      <c r="C11" t="s">
        <v>52</v>
      </c>
      <c r="D11" t="s">
        <v>52</v>
      </c>
      <c r="E11" t="s">
        <v>27</v>
      </c>
      <c r="F11" t="s">
        <v>22</v>
      </c>
      <c r="G11" t="s">
        <v>23</v>
      </c>
      <c r="H11">
        <v>16</v>
      </c>
      <c r="I11">
        <v>0</v>
      </c>
      <c r="J11">
        <v>0</v>
      </c>
      <c r="K11">
        <v>0</v>
      </c>
    </row>
    <row r="12" spans="1:11" x14ac:dyDescent="0.25">
      <c r="A12" s="1">
        <v>45662</v>
      </c>
      <c r="B12" t="s">
        <v>146</v>
      </c>
      <c r="C12" t="s">
        <v>52</v>
      </c>
      <c r="D12" t="s">
        <v>52</v>
      </c>
      <c r="E12" t="s">
        <v>27</v>
      </c>
      <c r="F12" t="s">
        <v>58</v>
      </c>
      <c r="G12" t="s">
        <v>59</v>
      </c>
      <c r="H12">
        <v>2400</v>
      </c>
      <c r="I12">
        <v>120.168067226891</v>
      </c>
      <c r="J12">
        <v>288403.36134453799</v>
      </c>
      <c r="K12">
        <v>343200</v>
      </c>
    </row>
    <row r="13" spans="1:11" x14ac:dyDescent="0.25">
      <c r="A13" s="1">
        <v>45662</v>
      </c>
      <c r="B13" t="s">
        <v>145</v>
      </c>
      <c r="C13" t="s">
        <v>52</v>
      </c>
      <c r="D13" t="s">
        <v>52</v>
      </c>
      <c r="E13" t="s">
        <v>27</v>
      </c>
      <c r="F13" t="s">
        <v>49</v>
      </c>
      <c r="G13" t="s">
        <v>50</v>
      </c>
      <c r="H13">
        <v>2400</v>
      </c>
      <c r="I13">
        <v>98.3193277310924</v>
      </c>
      <c r="J13">
        <v>235966.386554622</v>
      </c>
      <c r="K13">
        <v>280800</v>
      </c>
    </row>
    <row r="14" spans="1:11" x14ac:dyDescent="0.25">
      <c r="A14" s="1">
        <v>45662</v>
      </c>
      <c r="B14" t="s">
        <v>145</v>
      </c>
      <c r="C14" t="s">
        <v>53</v>
      </c>
      <c r="D14" t="s">
        <v>53</v>
      </c>
      <c r="E14" t="s">
        <v>27</v>
      </c>
      <c r="F14" t="s">
        <v>12</v>
      </c>
      <c r="G14" t="s">
        <v>13</v>
      </c>
      <c r="H14">
        <v>28800</v>
      </c>
      <c r="I14">
        <v>96.6386554621849</v>
      </c>
      <c r="J14">
        <v>2783193.2773109302</v>
      </c>
      <c r="K14">
        <v>3311999.9999999902</v>
      </c>
    </row>
    <row r="15" spans="1:11" x14ac:dyDescent="0.25">
      <c r="A15" s="1">
        <v>45662</v>
      </c>
      <c r="B15" t="s">
        <v>146</v>
      </c>
      <c r="C15" t="s">
        <v>53</v>
      </c>
      <c r="D15" t="s">
        <v>53</v>
      </c>
      <c r="E15" t="s">
        <v>27</v>
      </c>
      <c r="F15" t="s">
        <v>14</v>
      </c>
      <c r="G15" t="s">
        <v>15</v>
      </c>
      <c r="H15">
        <v>7200</v>
      </c>
      <c r="I15">
        <v>178.99159663865501</v>
      </c>
      <c r="J15">
        <v>1288739.49579832</v>
      </c>
      <c r="K15">
        <v>1533600</v>
      </c>
    </row>
    <row r="16" spans="1:11" x14ac:dyDescent="0.25">
      <c r="A16" s="1">
        <v>45662</v>
      </c>
      <c r="B16" t="s">
        <v>145</v>
      </c>
      <c r="C16" t="s">
        <v>53</v>
      </c>
      <c r="D16" t="s">
        <v>53</v>
      </c>
      <c r="E16" t="s">
        <v>27</v>
      </c>
      <c r="F16" t="s">
        <v>18</v>
      </c>
      <c r="G16" t="s">
        <v>19</v>
      </c>
      <c r="H16">
        <v>2400</v>
      </c>
      <c r="I16">
        <v>126.05042016806701</v>
      </c>
      <c r="J16">
        <v>302521.00840336102</v>
      </c>
      <c r="K16">
        <v>360000</v>
      </c>
    </row>
    <row r="17" spans="1:11" x14ac:dyDescent="0.25">
      <c r="A17" s="1">
        <v>45662</v>
      </c>
      <c r="B17" t="s">
        <v>146</v>
      </c>
      <c r="C17" t="s">
        <v>53</v>
      </c>
      <c r="D17" t="s">
        <v>53</v>
      </c>
      <c r="E17" t="s">
        <v>27</v>
      </c>
      <c r="F17" t="s">
        <v>22</v>
      </c>
      <c r="G17" t="s">
        <v>23</v>
      </c>
      <c r="H17">
        <v>16</v>
      </c>
      <c r="I17">
        <v>0</v>
      </c>
      <c r="J17">
        <v>0</v>
      </c>
      <c r="K17">
        <v>0</v>
      </c>
    </row>
    <row r="18" spans="1:11" x14ac:dyDescent="0.25">
      <c r="A18" s="1">
        <v>45662</v>
      </c>
      <c r="B18" t="s">
        <v>145</v>
      </c>
      <c r="C18" t="s">
        <v>53</v>
      </c>
      <c r="D18" t="s">
        <v>53</v>
      </c>
      <c r="E18" t="s">
        <v>27</v>
      </c>
      <c r="F18" t="s">
        <v>24</v>
      </c>
      <c r="G18" t="s">
        <v>25</v>
      </c>
      <c r="H18">
        <v>2400</v>
      </c>
      <c r="I18">
        <v>89.915966386554601</v>
      </c>
      <c r="J18">
        <v>215798.31932773101</v>
      </c>
      <c r="K18">
        <v>256800</v>
      </c>
    </row>
    <row r="19" spans="1:11" x14ac:dyDescent="0.25">
      <c r="A19" s="1">
        <v>45662</v>
      </c>
      <c r="B19" t="s">
        <v>145</v>
      </c>
      <c r="C19" t="s">
        <v>53</v>
      </c>
      <c r="D19" t="s">
        <v>53</v>
      </c>
      <c r="E19" t="s">
        <v>27</v>
      </c>
      <c r="F19" t="s">
        <v>49</v>
      </c>
      <c r="G19" t="s">
        <v>50</v>
      </c>
      <c r="H19">
        <v>2400</v>
      </c>
      <c r="I19">
        <v>98.3193277310924</v>
      </c>
      <c r="J19">
        <v>235966.386554622</v>
      </c>
      <c r="K19">
        <v>280800</v>
      </c>
    </row>
    <row r="20" spans="1:11" x14ac:dyDescent="0.25">
      <c r="A20" s="1">
        <v>45662</v>
      </c>
      <c r="B20" t="s">
        <v>145</v>
      </c>
      <c r="C20" t="s">
        <v>28</v>
      </c>
      <c r="D20" t="s">
        <v>28</v>
      </c>
      <c r="E20" t="s">
        <v>27</v>
      </c>
      <c r="F20" t="s">
        <v>12</v>
      </c>
      <c r="G20" t="s">
        <v>13</v>
      </c>
      <c r="H20">
        <v>2400</v>
      </c>
      <c r="I20">
        <v>96.6386554621849</v>
      </c>
      <c r="J20">
        <v>231932.77310924401</v>
      </c>
      <c r="K20">
        <v>276000</v>
      </c>
    </row>
    <row r="21" spans="1:11" x14ac:dyDescent="0.25">
      <c r="A21" s="1">
        <v>45662</v>
      </c>
      <c r="B21" t="s">
        <v>146</v>
      </c>
      <c r="C21" t="s">
        <v>28</v>
      </c>
      <c r="D21" t="s">
        <v>28</v>
      </c>
      <c r="E21" t="s">
        <v>27</v>
      </c>
      <c r="F21" t="s">
        <v>22</v>
      </c>
      <c r="G21" t="s">
        <v>23</v>
      </c>
      <c r="H21">
        <v>1</v>
      </c>
      <c r="I21">
        <v>0</v>
      </c>
      <c r="J21">
        <v>0</v>
      </c>
      <c r="K21">
        <v>0</v>
      </c>
    </row>
    <row r="22" spans="1:11" x14ac:dyDescent="0.25">
      <c r="A22" s="1">
        <v>45662</v>
      </c>
      <c r="B22" t="s">
        <v>145</v>
      </c>
      <c r="C22" t="s">
        <v>31</v>
      </c>
      <c r="D22" t="s">
        <v>32</v>
      </c>
      <c r="E22" t="s">
        <v>27</v>
      </c>
      <c r="F22" t="s">
        <v>20</v>
      </c>
      <c r="G22" t="s">
        <v>21</v>
      </c>
      <c r="H22">
        <v>8400</v>
      </c>
      <c r="I22">
        <v>231.09243697478999</v>
      </c>
      <c r="J22">
        <v>1941176.4705882401</v>
      </c>
      <c r="K22">
        <v>2310000.0000000098</v>
      </c>
    </row>
    <row r="23" spans="1:11" x14ac:dyDescent="0.25">
      <c r="A23" s="1">
        <v>45662</v>
      </c>
      <c r="B23" t="s">
        <v>145</v>
      </c>
      <c r="C23" t="s">
        <v>31</v>
      </c>
      <c r="D23" t="s">
        <v>32</v>
      </c>
      <c r="E23" t="s">
        <v>27</v>
      </c>
      <c r="F23" t="s">
        <v>20</v>
      </c>
      <c r="G23" t="s">
        <v>21</v>
      </c>
      <c r="H23">
        <v>24000</v>
      </c>
      <c r="I23">
        <v>231.09243697478999</v>
      </c>
      <c r="J23">
        <v>5546218.4873949597</v>
      </c>
      <c r="K23">
        <v>6600000</v>
      </c>
    </row>
    <row r="24" spans="1:11" x14ac:dyDescent="0.25">
      <c r="A24" s="1">
        <v>45662</v>
      </c>
      <c r="B24" t="s">
        <v>145</v>
      </c>
      <c r="C24" t="s">
        <v>31</v>
      </c>
      <c r="D24" t="s">
        <v>32</v>
      </c>
      <c r="E24" t="s">
        <v>27</v>
      </c>
      <c r="F24" t="s">
        <v>20</v>
      </c>
      <c r="G24" t="s">
        <v>21</v>
      </c>
      <c r="H24">
        <v>24000</v>
      </c>
      <c r="I24">
        <v>231.09243697478999</v>
      </c>
      <c r="J24">
        <v>5546218.4873949597</v>
      </c>
      <c r="K24">
        <v>6600000</v>
      </c>
    </row>
    <row r="25" spans="1:11" x14ac:dyDescent="0.25">
      <c r="A25" s="1">
        <v>45662</v>
      </c>
      <c r="B25" t="s">
        <v>145</v>
      </c>
      <c r="C25" t="s">
        <v>31</v>
      </c>
      <c r="D25" t="s">
        <v>32</v>
      </c>
      <c r="E25" t="s">
        <v>27</v>
      </c>
      <c r="F25" t="s">
        <v>43</v>
      </c>
      <c r="G25" t="s">
        <v>44</v>
      </c>
      <c r="H25">
        <v>9600</v>
      </c>
      <c r="I25">
        <v>214.28571428571399</v>
      </c>
      <c r="J25">
        <v>2057142.8571428501</v>
      </c>
      <c r="K25">
        <v>2448000</v>
      </c>
    </row>
    <row r="26" spans="1:11" x14ac:dyDescent="0.25">
      <c r="A26" s="1">
        <v>45662</v>
      </c>
      <c r="B26" t="s">
        <v>145</v>
      </c>
      <c r="C26" t="s">
        <v>31</v>
      </c>
      <c r="D26" t="s">
        <v>32</v>
      </c>
      <c r="E26" t="s">
        <v>27</v>
      </c>
      <c r="F26" t="s">
        <v>45</v>
      </c>
      <c r="G26" t="s">
        <v>46</v>
      </c>
      <c r="H26">
        <v>12000</v>
      </c>
      <c r="I26">
        <v>117.64705882352899</v>
      </c>
      <c r="J26">
        <v>1411764.70588235</v>
      </c>
      <c r="K26">
        <v>1680000</v>
      </c>
    </row>
    <row r="27" spans="1:11" x14ac:dyDescent="0.25">
      <c r="A27" s="1">
        <v>45662</v>
      </c>
      <c r="B27" t="s">
        <v>146</v>
      </c>
      <c r="C27" t="s">
        <v>31</v>
      </c>
      <c r="D27" t="s">
        <v>32</v>
      </c>
      <c r="E27" t="s">
        <v>27</v>
      </c>
      <c r="F27" t="s">
        <v>22</v>
      </c>
      <c r="G27" t="s">
        <v>23</v>
      </c>
      <c r="H27">
        <v>16</v>
      </c>
      <c r="I27">
        <v>0</v>
      </c>
      <c r="J27">
        <v>0</v>
      </c>
      <c r="K27">
        <v>0</v>
      </c>
    </row>
    <row r="28" spans="1:11" x14ac:dyDescent="0.25">
      <c r="A28" s="1">
        <v>45662</v>
      </c>
      <c r="B28" t="s">
        <v>146</v>
      </c>
      <c r="C28" t="s">
        <v>31</v>
      </c>
      <c r="D28" t="s">
        <v>32</v>
      </c>
      <c r="E28" t="s">
        <v>27</v>
      </c>
      <c r="F28" t="s">
        <v>22</v>
      </c>
      <c r="G28" t="s">
        <v>23</v>
      </c>
      <c r="H28">
        <v>18</v>
      </c>
      <c r="I28">
        <v>0</v>
      </c>
      <c r="J28">
        <v>0</v>
      </c>
      <c r="K28">
        <v>0</v>
      </c>
    </row>
    <row r="29" spans="1:11" x14ac:dyDescent="0.25">
      <c r="A29" s="1">
        <v>45662</v>
      </c>
      <c r="B29" t="s">
        <v>146</v>
      </c>
      <c r="C29" t="s">
        <v>31</v>
      </c>
      <c r="D29" t="s">
        <v>32</v>
      </c>
      <c r="E29" t="s">
        <v>27</v>
      </c>
      <c r="F29" t="s">
        <v>22</v>
      </c>
      <c r="G29" t="s">
        <v>23</v>
      </c>
      <c r="H29">
        <v>16</v>
      </c>
      <c r="I29">
        <v>0</v>
      </c>
      <c r="J29">
        <v>0</v>
      </c>
      <c r="K29">
        <v>0</v>
      </c>
    </row>
    <row r="30" spans="1:11" x14ac:dyDescent="0.25">
      <c r="A30" s="1">
        <v>45662</v>
      </c>
      <c r="B30" t="s">
        <v>146</v>
      </c>
      <c r="C30" t="s">
        <v>33</v>
      </c>
      <c r="D30" t="s">
        <v>34</v>
      </c>
      <c r="E30" t="s">
        <v>27</v>
      </c>
      <c r="F30" t="s">
        <v>14</v>
      </c>
      <c r="G30" t="s">
        <v>15</v>
      </c>
      <c r="H30">
        <v>2400</v>
      </c>
      <c r="I30">
        <v>178.99159663865501</v>
      </c>
      <c r="J30">
        <v>429579.83193277201</v>
      </c>
      <c r="K30">
        <v>511200</v>
      </c>
    </row>
    <row r="31" spans="1:11" x14ac:dyDescent="0.25">
      <c r="A31" s="1">
        <v>45662</v>
      </c>
      <c r="B31" t="s">
        <v>145</v>
      </c>
      <c r="C31" t="s">
        <v>33</v>
      </c>
      <c r="D31" t="s">
        <v>34</v>
      </c>
      <c r="E31" t="s">
        <v>27</v>
      </c>
      <c r="F31" t="s">
        <v>18</v>
      </c>
      <c r="G31" t="s">
        <v>19</v>
      </c>
      <c r="H31">
        <v>12000</v>
      </c>
      <c r="I31">
        <v>126.05042016806701</v>
      </c>
      <c r="J31">
        <v>1512605.0420168</v>
      </c>
      <c r="K31">
        <v>1800000</v>
      </c>
    </row>
    <row r="32" spans="1:11" x14ac:dyDescent="0.25">
      <c r="A32" s="1">
        <v>45662</v>
      </c>
      <c r="B32" t="s">
        <v>145</v>
      </c>
      <c r="C32" t="s">
        <v>33</v>
      </c>
      <c r="D32" t="s">
        <v>34</v>
      </c>
      <c r="E32" t="s">
        <v>27</v>
      </c>
      <c r="F32" t="s">
        <v>20</v>
      </c>
      <c r="G32" t="s">
        <v>21</v>
      </c>
      <c r="H32">
        <v>18000</v>
      </c>
      <c r="I32">
        <v>231.09243697478999</v>
      </c>
      <c r="J32">
        <v>4159663.86554622</v>
      </c>
      <c r="K32">
        <v>4950000</v>
      </c>
    </row>
    <row r="33" spans="1:11" x14ac:dyDescent="0.25">
      <c r="A33" s="1">
        <v>45662</v>
      </c>
      <c r="B33" t="s">
        <v>145</v>
      </c>
      <c r="C33" t="s">
        <v>33</v>
      </c>
      <c r="D33" t="s">
        <v>34</v>
      </c>
      <c r="E33" t="s">
        <v>27</v>
      </c>
      <c r="F33" t="s">
        <v>20</v>
      </c>
      <c r="G33" t="s">
        <v>21</v>
      </c>
      <c r="H33">
        <v>21600</v>
      </c>
      <c r="I33">
        <v>231.09243697478999</v>
      </c>
      <c r="J33">
        <v>4991596.6386554604</v>
      </c>
      <c r="K33">
        <v>5940000</v>
      </c>
    </row>
    <row r="34" spans="1:11" x14ac:dyDescent="0.25">
      <c r="A34" s="1">
        <v>45662</v>
      </c>
      <c r="B34" t="s">
        <v>146</v>
      </c>
      <c r="C34" t="s">
        <v>33</v>
      </c>
      <c r="D34" t="s">
        <v>34</v>
      </c>
      <c r="E34" t="s">
        <v>27</v>
      </c>
      <c r="F34" t="s">
        <v>22</v>
      </c>
      <c r="G34" t="s">
        <v>23</v>
      </c>
      <c r="H34">
        <v>16</v>
      </c>
      <c r="I34">
        <v>0</v>
      </c>
      <c r="J34">
        <v>0</v>
      </c>
      <c r="K34">
        <v>0</v>
      </c>
    </row>
    <row r="35" spans="1:11" x14ac:dyDescent="0.25">
      <c r="A35" s="1">
        <v>45662</v>
      </c>
      <c r="B35" t="s">
        <v>146</v>
      </c>
      <c r="C35" t="s">
        <v>33</v>
      </c>
      <c r="D35" t="s">
        <v>34</v>
      </c>
      <c r="E35" t="s">
        <v>27</v>
      </c>
      <c r="F35" t="s">
        <v>22</v>
      </c>
      <c r="G35" t="s">
        <v>23</v>
      </c>
      <c r="H35">
        <v>16</v>
      </c>
      <c r="I35">
        <v>0</v>
      </c>
      <c r="J35">
        <v>0</v>
      </c>
      <c r="K35">
        <v>0</v>
      </c>
    </row>
    <row r="36" spans="1:11" x14ac:dyDescent="0.25">
      <c r="A36" s="1">
        <v>45662</v>
      </c>
      <c r="B36" t="s">
        <v>145</v>
      </c>
      <c r="C36" t="s">
        <v>56</v>
      </c>
      <c r="D36" t="s">
        <v>57</v>
      </c>
      <c r="E36" t="s">
        <v>27</v>
      </c>
      <c r="F36" t="s">
        <v>12</v>
      </c>
      <c r="G36" t="s">
        <v>13</v>
      </c>
      <c r="H36">
        <v>4800</v>
      </c>
      <c r="I36">
        <v>96.6386554621849</v>
      </c>
      <c r="J36">
        <v>463865.54621848802</v>
      </c>
      <c r="K36">
        <v>552000</v>
      </c>
    </row>
    <row r="37" spans="1:11" x14ac:dyDescent="0.25">
      <c r="A37" s="1">
        <v>45662</v>
      </c>
      <c r="B37" t="s">
        <v>146</v>
      </c>
      <c r="C37" t="s">
        <v>56</v>
      </c>
      <c r="D37" t="s">
        <v>57</v>
      </c>
      <c r="E37" t="s">
        <v>27</v>
      </c>
      <c r="F37" t="s">
        <v>22</v>
      </c>
      <c r="G37" t="s">
        <v>23</v>
      </c>
      <c r="H37">
        <v>2</v>
      </c>
      <c r="I37">
        <v>0</v>
      </c>
      <c r="J37">
        <v>0</v>
      </c>
      <c r="K37">
        <v>0</v>
      </c>
    </row>
    <row r="38" spans="1:11" x14ac:dyDescent="0.25">
      <c r="A38" s="1">
        <v>45662</v>
      </c>
      <c r="B38" t="s">
        <v>145</v>
      </c>
      <c r="C38" t="s">
        <v>60</v>
      </c>
      <c r="D38" t="s">
        <v>61</v>
      </c>
      <c r="E38" t="s">
        <v>27</v>
      </c>
      <c r="F38" t="s">
        <v>12</v>
      </c>
      <c r="G38" t="s">
        <v>13</v>
      </c>
      <c r="H38">
        <v>14400</v>
      </c>
      <c r="I38">
        <v>96.6386554621849</v>
      </c>
      <c r="J38">
        <v>1391596.63865546</v>
      </c>
      <c r="K38">
        <v>1656000</v>
      </c>
    </row>
    <row r="39" spans="1:11" x14ac:dyDescent="0.25">
      <c r="A39" s="1">
        <v>45662</v>
      </c>
      <c r="B39" t="s">
        <v>146</v>
      </c>
      <c r="C39" t="s">
        <v>60</v>
      </c>
      <c r="D39" t="s">
        <v>61</v>
      </c>
      <c r="E39" t="s">
        <v>27</v>
      </c>
      <c r="F39" t="s">
        <v>14</v>
      </c>
      <c r="G39" t="s">
        <v>15</v>
      </c>
      <c r="H39">
        <v>4800</v>
      </c>
      <c r="I39">
        <v>178.99159663865501</v>
      </c>
      <c r="J39">
        <v>859159.66386554402</v>
      </c>
      <c r="K39">
        <v>1022400</v>
      </c>
    </row>
    <row r="40" spans="1:11" x14ac:dyDescent="0.25">
      <c r="A40" s="1">
        <v>45662</v>
      </c>
      <c r="B40" t="s">
        <v>145</v>
      </c>
      <c r="C40" t="s">
        <v>60</v>
      </c>
      <c r="D40" t="s">
        <v>61</v>
      </c>
      <c r="E40" t="s">
        <v>27</v>
      </c>
      <c r="F40" t="s">
        <v>16</v>
      </c>
      <c r="G40" t="s">
        <v>17</v>
      </c>
      <c r="H40">
        <v>1200</v>
      </c>
      <c r="I40">
        <v>198.31932773109199</v>
      </c>
      <c r="J40">
        <v>237983.19327731</v>
      </c>
      <c r="K40">
        <v>283200</v>
      </c>
    </row>
    <row r="41" spans="1:11" x14ac:dyDescent="0.25">
      <c r="A41" s="1">
        <v>45662</v>
      </c>
      <c r="B41" t="s">
        <v>145</v>
      </c>
      <c r="C41" t="s">
        <v>60</v>
      </c>
      <c r="D41" t="s">
        <v>61</v>
      </c>
      <c r="E41" t="s">
        <v>27</v>
      </c>
      <c r="F41" t="s">
        <v>16</v>
      </c>
      <c r="G41" t="s">
        <v>17</v>
      </c>
      <c r="H41">
        <v>2400</v>
      </c>
      <c r="I41">
        <v>198.31932773109199</v>
      </c>
      <c r="J41">
        <v>475966.38655462099</v>
      </c>
      <c r="K41">
        <v>566400</v>
      </c>
    </row>
    <row r="42" spans="1:11" x14ac:dyDescent="0.25">
      <c r="A42" s="1">
        <v>45662</v>
      </c>
      <c r="B42" t="s">
        <v>145</v>
      </c>
      <c r="C42" t="s">
        <v>60</v>
      </c>
      <c r="D42" t="s">
        <v>61</v>
      </c>
      <c r="E42" t="s">
        <v>27</v>
      </c>
      <c r="F42" t="s">
        <v>18</v>
      </c>
      <c r="G42" t="s">
        <v>19</v>
      </c>
      <c r="H42">
        <v>19200</v>
      </c>
      <c r="I42">
        <v>126.05042016806701</v>
      </c>
      <c r="J42">
        <v>2420168.06722689</v>
      </c>
      <c r="K42">
        <v>2880000</v>
      </c>
    </row>
    <row r="43" spans="1:11" x14ac:dyDescent="0.25">
      <c r="A43" s="1">
        <v>45662</v>
      </c>
      <c r="B43" t="s">
        <v>145</v>
      </c>
      <c r="C43" t="s">
        <v>60</v>
      </c>
      <c r="D43" t="s">
        <v>61</v>
      </c>
      <c r="E43" t="s">
        <v>27</v>
      </c>
      <c r="F43" t="s">
        <v>18</v>
      </c>
      <c r="G43" t="s">
        <v>19</v>
      </c>
      <c r="H43">
        <v>31200</v>
      </c>
      <c r="I43">
        <v>126.05042016806701</v>
      </c>
      <c r="J43">
        <v>3932773.10924369</v>
      </c>
      <c r="K43">
        <v>4680000</v>
      </c>
    </row>
    <row r="44" spans="1:11" x14ac:dyDescent="0.25">
      <c r="A44" s="1">
        <v>45662</v>
      </c>
      <c r="B44" t="s">
        <v>145</v>
      </c>
      <c r="C44" t="s">
        <v>60</v>
      </c>
      <c r="D44" t="s">
        <v>61</v>
      </c>
      <c r="E44" t="s">
        <v>27</v>
      </c>
      <c r="F44" t="s">
        <v>43</v>
      </c>
      <c r="G44" t="s">
        <v>44</v>
      </c>
      <c r="H44">
        <v>2400</v>
      </c>
      <c r="I44">
        <v>214.28571428571399</v>
      </c>
      <c r="J44">
        <v>514285.71428571403</v>
      </c>
      <c r="K44">
        <v>611999.99999998999</v>
      </c>
    </row>
    <row r="45" spans="1:11" x14ac:dyDescent="0.25">
      <c r="A45" s="1">
        <v>45662</v>
      </c>
      <c r="B45" t="s">
        <v>145</v>
      </c>
      <c r="C45" t="s">
        <v>60</v>
      </c>
      <c r="D45" t="s">
        <v>61</v>
      </c>
      <c r="E45" t="s">
        <v>27</v>
      </c>
      <c r="F45" t="s">
        <v>45</v>
      </c>
      <c r="G45" t="s">
        <v>46</v>
      </c>
      <c r="H45">
        <v>7200</v>
      </c>
      <c r="I45">
        <v>117.64705882352899</v>
      </c>
      <c r="J45">
        <v>847058.82352940901</v>
      </c>
      <c r="K45">
        <v>1008000</v>
      </c>
    </row>
    <row r="46" spans="1:11" x14ac:dyDescent="0.25">
      <c r="A46" s="1">
        <v>45662</v>
      </c>
      <c r="B46" t="s">
        <v>146</v>
      </c>
      <c r="C46" t="s">
        <v>60</v>
      </c>
      <c r="D46" t="s">
        <v>61</v>
      </c>
      <c r="E46" t="s">
        <v>27</v>
      </c>
      <c r="F46" t="s">
        <v>22</v>
      </c>
      <c r="G46" t="s">
        <v>23</v>
      </c>
      <c r="H46">
        <v>16</v>
      </c>
      <c r="I46">
        <v>0</v>
      </c>
      <c r="J46">
        <v>0</v>
      </c>
      <c r="K46">
        <v>0</v>
      </c>
    </row>
    <row r="47" spans="1:11" x14ac:dyDescent="0.25">
      <c r="A47" s="1">
        <v>45662</v>
      </c>
      <c r="B47" t="s">
        <v>146</v>
      </c>
      <c r="C47" t="s">
        <v>60</v>
      </c>
      <c r="D47" t="s">
        <v>61</v>
      </c>
      <c r="E47" t="s">
        <v>27</v>
      </c>
      <c r="F47" t="s">
        <v>22</v>
      </c>
      <c r="G47" t="s">
        <v>23</v>
      </c>
      <c r="H47">
        <v>16</v>
      </c>
      <c r="I47">
        <v>0</v>
      </c>
      <c r="J47">
        <v>0</v>
      </c>
      <c r="K47">
        <v>0</v>
      </c>
    </row>
    <row r="48" spans="1:11" x14ac:dyDescent="0.25">
      <c r="A48" s="1">
        <v>45662</v>
      </c>
      <c r="B48" t="s">
        <v>146</v>
      </c>
      <c r="C48" t="s">
        <v>60</v>
      </c>
      <c r="D48" t="s">
        <v>61</v>
      </c>
      <c r="E48" t="s">
        <v>27</v>
      </c>
      <c r="F48" t="s">
        <v>67</v>
      </c>
      <c r="G48" t="s">
        <v>68</v>
      </c>
      <c r="H48">
        <v>2400</v>
      </c>
      <c r="I48">
        <v>109.243697478992</v>
      </c>
      <c r="J48">
        <v>262184.873949581</v>
      </c>
      <c r="K48">
        <v>312000</v>
      </c>
    </row>
    <row r="49" spans="1:11" x14ac:dyDescent="0.25">
      <c r="A49" s="1">
        <v>45662</v>
      </c>
      <c r="B49" t="s">
        <v>145</v>
      </c>
      <c r="C49" t="s">
        <v>39</v>
      </c>
      <c r="D49" t="s">
        <v>40</v>
      </c>
      <c r="E49" t="s">
        <v>27</v>
      </c>
      <c r="F49" t="s">
        <v>12</v>
      </c>
      <c r="G49" t="s">
        <v>13</v>
      </c>
      <c r="H49">
        <v>9600</v>
      </c>
      <c r="I49">
        <v>96.6386554621849</v>
      </c>
      <c r="J49">
        <v>927731.09243697498</v>
      </c>
      <c r="K49">
        <v>1104000.00000001</v>
      </c>
    </row>
    <row r="50" spans="1:11" x14ac:dyDescent="0.25">
      <c r="A50" s="1">
        <v>45662</v>
      </c>
      <c r="B50" t="s">
        <v>146</v>
      </c>
      <c r="C50" t="s">
        <v>39</v>
      </c>
      <c r="D50" t="s">
        <v>40</v>
      </c>
      <c r="E50" t="s">
        <v>27</v>
      </c>
      <c r="F50" t="s">
        <v>14</v>
      </c>
      <c r="G50" t="s">
        <v>15</v>
      </c>
      <c r="H50">
        <v>4800</v>
      </c>
      <c r="I50">
        <v>178.99159663865501</v>
      </c>
      <c r="J50">
        <v>859159.66386554402</v>
      </c>
      <c r="K50">
        <v>1022400</v>
      </c>
    </row>
    <row r="51" spans="1:11" x14ac:dyDescent="0.25">
      <c r="A51" s="1">
        <v>45662</v>
      </c>
      <c r="B51" t="s">
        <v>145</v>
      </c>
      <c r="C51" t="s">
        <v>39</v>
      </c>
      <c r="D51" t="s">
        <v>40</v>
      </c>
      <c r="E51" t="s">
        <v>27</v>
      </c>
      <c r="F51" t="s">
        <v>18</v>
      </c>
      <c r="G51" t="s">
        <v>19</v>
      </c>
      <c r="H51">
        <v>12000</v>
      </c>
      <c r="I51">
        <v>126.05042016806701</v>
      </c>
      <c r="J51">
        <v>1512605.0420168</v>
      </c>
      <c r="K51">
        <v>1800000</v>
      </c>
    </row>
    <row r="52" spans="1:11" x14ac:dyDescent="0.25">
      <c r="A52" s="1">
        <v>45662</v>
      </c>
      <c r="B52" t="s">
        <v>145</v>
      </c>
      <c r="C52" t="s">
        <v>39</v>
      </c>
      <c r="D52" t="s">
        <v>40</v>
      </c>
      <c r="E52" t="s">
        <v>27</v>
      </c>
      <c r="F52" t="s">
        <v>18</v>
      </c>
      <c r="G52" t="s">
        <v>19</v>
      </c>
      <c r="H52">
        <v>12000</v>
      </c>
      <c r="I52">
        <v>126.05042016806701</v>
      </c>
      <c r="J52">
        <v>1512605.0420168</v>
      </c>
      <c r="K52">
        <v>1800000</v>
      </c>
    </row>
    <row r="53" spans="1:11" x14ac:dyDescent="0.25">
      <c r="A53" s="1">
        <v>45662</v>
      </c>
      <c r="B53" t="s">
        <v>145</v>
      </c>
      <c r="C53" t="s">
        <v>39</v>
      </c>
      <c r="D53" t="s">
        <v>40</v>
      </c>
      <c r="E53" t="s">
        <v>27</v>
      </c>
      <c r="F53" t="s">
        <v>18</v>
      </c>
      <c r="G53" t="s">
        <v>19</v>
      </c>
      <c r="H53">
        <v>12000</v>
      </c>
      <c r="I53">
        <v>126.05042016806701</v>
      </c>
      <c r="J53">
        <v>1512605.0420168</v>
      </c>
      <c r="K53">
        <v>1800000</v>
      </c>
    </row>
    <row r="54" spans="1:11" x14ac:dyDescent="0.25">
      <c r="A54" s="1">
        <v>45662</v>
      </c>
      <c r="B54" t="s">
        <v>145</v>
      </c>
      <c r="C54" t="s">
        <v>39</v>
      </c>
      <c r="D54" t="s">
        <v>40</v>
      </c>
      <c r="E54" t="s">
        <v>27</v>
      </c>
      <c r="F54" t="s">
        <v>20</v>
      </c>
      <c r="G54" t="s">
        <v>21</v>
      </c>
      <c r="H54">
        <v>6000</v>
      </c>
      <c r="I54">
        <v>231.09243697478999</v>
      </c>
      <c r="J54">
        <v>1386554.6218487399</v>
      </c>
      <c r="K54">
        <v>1650000</v>
      </c>
    </row>
    <row r="55" spans="1:11" x14ac:dyDescent="0.25">
      <c r="A55" s="1">
        <v>45662</v>
      </c>
      <c r="B55" t="s">
        <v>145</v>
      </c>
      <c r="C55" t="s">
        <v>39</v>
      </c>
      <c r="D55" t="s">
        <v>40</v>
      </c>
      <c r="E55" t="s">
        <v>27</v>
      </c>
      <c r="F55" t="s">
        <v>20</v>
      </c>
      <c r="G55" t="s">
        <v>21</v>
      </c>
      <c r="H55">
        <v>18000</v>
      </c>
      <c r="I55">
        <v>231.09243697478999</v>
      </c>
      <c r="J55">
        <v>4159663.86554622</v>
      </c>
      <c r="K55">
        <v>4950000</v>
      </c>
    </row>
    <row r="56" spans="1:11" x14ac:dyDescent="0.25">
      <c r="A56" s="1">
        <v>45662</v>
      </c>
      <c r="B56" t="s">
        <v>145</v>
      </c>
      <c r="C56" t="s">
        <v>39</v>
      </c>
      <c r="D56" t="s">
        <v>40</v>
      </c>
      <c r="E56" t="s">
        <v>27</v>
      </c>
      <c r="F56" t="s">
        <v>20</v>
      </c>
      <c r="G56" t="s">
        <v>21</v>
      </c>
      <c r="H56">
        <v>18000</v>
      </c>
      <c r="I56">
        <v>231.09243697478999</v>
      </c>
      <c r="J56">
        <v>4159663.86554622</v>
      </c>
      <c r="K56">
        <v>4950000</v>
      </c>
    </row>
    <row r="57" spans="1:11" x14ac:dyDescent="0.25">
      <c r="A57" s="1">
        <v>45662</v>
      </c>
      <c r="B57" t="s">
        <v>145</v>
      </c>
      <c r="C57" t="s">
        <v>39</v>
      </c>
      <c r="D57" t="s">
        <v>40</v>
      </c>
      <c r="E57" t="s">
        <v>27</v>
      </c>
      <c r="F57" t="s">
        <v>45</v>
      </c>
      <c r="G57" t="s">
        <v>46</v>
      </c>
      <c r="H57">
        <v>4800</v>
      </c>
      <c r="I57">
        <v>117.64705882352899</v>
      </c>
      <c r="J57">
        <v>564705.88235293899</v>
      </c>
      <c r="K57">
        <v>672000</v>
      </c>
    </row>
    <row r="58" spans="1:11" x14ac:dyDescent="0.25">
      <c r="A58" s="1">
        <v>45662</v>
      </c>
      <c r="B58" t="s">
        <v>146</v>
      </c>
      <c r="C58" t="s">
        <v>39</v>
      </c>
      <c r="D58" t="s">
        <v>40</v>
      </c>
      <c r="E58" t="s">
        <v>27</v>
      </c>
      <c r="F58" t="s">
        <v>22</v>
      </c>
      <c r="G58" t="s">
        <v>23</v>
      </c>
      <c r="H58">
        <v>16</v>
      </c>
      <c r="I58">
        <v>0</v>
      </c>
      <c r="J58">
        <v>0</v>
      </c>
      <c r="K58">
        <v>0</v>
      </c>
    </row>
    <row r="59" spans="1:11" x14ac:dyDescent="0.25">
      <c r="A59" s="1">
        <v>45662</v>
      </c>
      <c r="B59" t="s">
        <v>146</v>
      </c>
      <c r="C59" t="s">
        <v>39</v>
      </c>
      <c r="D59" t="s">
        <v>40</v>
      </c>
      <c r="E59" t="s">
        <v>27</v>
      </c>
      <c r="F59" t="s">
        <v>22</v>
      </c>
      <c r="G59" t="s">
        <v>23</v>
      </c>
      <c r="H59">
        <v>16</v>
      </c>
      <c r="I59">
        <v>0</v>
      </c>
      <c r="J59">
        <v>0</v>
      </c>
      <c r="K59">
        <v>0</v>
      </c>
    </row>
    <row r="60" spans="1:11" x14ac:dyDescent="0.25">
      <c r="A60" s="1">
        <v>45662</v>
      </c>
      <c r="B60" t="s">
        <v>146</v>
      </c>
      <c r="C60" t="s">
        <v>39</v>
      </c>
      <c r="D60" t="s">
        <v>40</v>
      </c>
      <c r="E60" t="s">
        <v>27</v>
      </c>
      <c r="F60" t="s">
        <v>22</v>
      </c>
      <c r="G60" t="s">
        <v>23</v>
      </c>
      <c r="H60">
        <v>16</v>
      </c>
      <c r="I60">
        <v>0</v>
      </c>
      <c r="J60">
        <v>0</v>
      </c>
      <c r="K60">
        <v>0</v>
      </c>
    </row>
    <row r="61" spans="1:11" x14ac:dyDescent="0.25">
      <c r="A61" s="1">
        <v>45663</v>
      </c>
      <c r="B61" t="s">
        <v>145</v>
      </c>
      <c r="C61" t="s">
        <v>41</v>
      </c>
      <c r="D61" t="s">
        <v>42</v>
      </c>
      <c r="E61" t="s">
        <v>27</v>
      </c>
      <c r="F61" t="s">
        <v>20</v>
      </c>
      <c r="G61" t="s">
        <v>21</v>
      </c>
      <c r="H61">
        <v>8400</v>
      </c>
      <c r="I61">
        <v>231.09243697478999</v>
      </c>
      <c r="J61">
        <v>1941176.4705882401</v>
      </c>
      <c r="K61">
        <v>2310000.0000000098</v>
      </c>
    </row>
    <row r="62" spans="1:11" x14ac:dyDescent="0.25">
      <c r="A62" s="1">
        <v>45663</v>
      </c>
      <c r="B62" t="s">
        <v>145</v>
      </c>
      <c r="C62" t="s">
        <v>41</v>
      </c>
      <c r="D62" t="s">
        <v>42</v>
      </c>
      <c r="E62" t="s">
        <v>27</v>
      </c>
      <c r="F62" t="s">
        <v>45</v>
      </c>
      <c r="G62" t="s">
        <v>46</v>
      </c>
      <c r="H62">
        <v>2400</v>
      </c>
      <c r="I62">
        <v>117.64705882352899</v>
      </c>
      <c r="J62">
        <v>282352.94117647002</v>
      </c>
      <c r="K62">
        <v>336000</v>
      </c>
    </row>
    <row r="63" spans="1:11" x14ac:dyDescent="0.25">
      <c r="A63" s="1">
        <v>45663</v>
      </c>
      <c r="B63" t="s">
        <v>146</v>
      </c>
      <c r="C63" t="s">
        <v>41</v>
      </c>
      <c r="D63" t="s">
        <v>42</v>
      </c>
      <c r="E63" t="s">
        <v>27</v>
      </c>
      <c r="F63" t="s">
        <v>22</v>
      </c>
      <c r="G63" t="s">
        <v>23</v>
      </c>
      <c r="H63">
        <v>8</v>
      </c>
      <c r="I63">
        <v>0</v>
      </c>
      <c r="J63">
        <v>0</v>
      </c>
      <c r="K63">
        <v>0</v>
      </c>
    </row>
    <row r="64" spans="1:11" x14ac:dyDescent="0.25">
      <c r="A64" s="1">
        <v>45663</v>
      </c>
      <c r="B64" t="s">
        <v>146</v>
      </c>
      <c r="C64" t="s">
        <v>41</v>
      </c>
      <c r="D64" t="s">
        <v>42</v>
      </c>
      <c r="E64" t="s">
        <v>27</v>
      </c>
      <c r="F64" t="s">
        <v>58</v>
      </c>
      <c r="G64" t="s">
        <v>59</v>
      </c>
      <c r="H64">
        <v>4800</v>
      </c>
      <c r="I64">
        <v>120.168067226891</v>
      </c>
      <c r="J64">
        <v>576806.72268907703</v>
      </c>
      <c r="K64">
        <v>686400.00000001001</v>
      </c>
    </row>
    <row r="65" spans="1:11" x14ac:dyDescent="0.25">
      <c r="A65" s="1">
        <v>45663</v>
      </c>
      <c r="B65" t="s">
        <v>145</v>
      </c>
      <c r="C65" t="s">
        <v>51</v>
      </c>
      <c r="D65" t="s">
        <v>51</v>
      </c>
      <c r="E65" t="s">
        <v>27</v>
      </c>
      <c r="F65" t="s">
        <v>20</v>
      </c>
      <c r="G65" t="s">
        <v>21</v>
      </c>
      <c r="H65">
        <v>21600</v>
      </c>
      <c r="I65">
        <v>231.09243697478999</v>
      </c>
      <c r="J65">
        <v>4991596.6386554604</v>
      </c>
      <c r="K65">
        <v>5940000</v>
      </c>
    </row>
    <row r="66" spans="1:11" x14ac:dyDescent="0.25">
      <c r="A66" s="1">
        <v>45663</v>
      </c>
      <c r="B66" t="s">
        <v>145</v>
      </c>
      <c r="C66" t="s">
        <v>51</v>
      </c>
      <c r="D66" t="s">
        <v>51</v>
      </c>
      <c r="E66" t="s">
        <v>27</v>
      </c>
      <c r="F66" t="s">
        <v>43</v>
      </c>
      <c r="G66" t="s">
        <v>44</v>
      </c>
      <c r="H66">
        <v>2400</v>
      </c>
      <c r="I66">
        <v>214.28571428571399</v>
      </c>
      <c r="J66">
        <v>514285.71428571403</v>
      </c>
      <c r="K66">
        <v>611999.99999998999</v>
      </c>
    </row>
    <row r="67" spans="1:11" x14ac:dyDescent="0.25">
      <c r="A67" s="1">
        <v>45663</v>
      </c>
      <c r="B67" t="s">
        <v>146</v>
      </c>
      <c r="C67" t="s">
        <v>51</v>
      </c>
      <c r="D67" t="s">
        <v>51</v>
      </c>
      <c r="E67" t="s">
        <v>27</v>
      </c>
      <c r="F67" t="s">
        <v>22</v>
      </c>
      <c r="G67" t="s">
        <v>23</v>
      </c>
      <c r="H67">
        <v>18</v>
      </c>
      <c r="I67">
        <v>0</v>
      </c>
      <c r="J67">
        <v>0</v>
      </c>
      <c r="K67">
        <v>0</v>
      </c>
    </row>
    <row r="68" spans="1:11" x14ac:dyDescent="0.25">
      <c r="A68" s="1">
        <v>45663</v>
      </c>
      <c r="B68" t="s">
        <v>145</v>
      </c>
      <c r="C68" t="s">
        <v>35</v>
      </c>
      <c r="D68" t="s">
        <v>36</v>
      </c>
      <c r="E68" t="s">
        <v>27</v>
      </c>
      <c r="F68" t="s">
        <v>20</v>
      </c>
      <c r="G68" t="s">
        <v>21</v>
      </c>
      <c r="H68">
        <v>24000</v>
      </c>
      <c r="I68">
        <v>231.09243697478999</v>
      </c>
      <c r="J68">
        <v>5546218.4873949597</v>
      </c>
      <c r="K68">
        <v>6600000</v>
      </c>
    </row>
    <row r="69" spans="1:11" x14ac:dyDescent="0.25">
      <c r="A69" s="1">
        <v>45663</v>
      </c>
      <c r="B69" t="s">
        <v>146</v>
      </c>
      <c r="C69" t="s">
        <v>35</v>
      </c>
      <c r="D69" t="s">
        <v>36</v>
      </c>
      <c r="E69" t="s">
        <v>27</v>
      </c>
      <c r="F69" t="s">
        <v>22</v>
      </c>
      <c r="G69" t="s">
        <v>23</v>
      </c>
      <c r="H69">
        <v>18</v>
      </c>
      <c r="I69">
        <v>0</v>
      </c>
      <c r="J69">
        <v>0</v>
      </c>
      <c r="K69">
        <v>0</v>
      </c>
    </row>
    <row r="70" spans="1:11" x14ac:dyDescent="0.25">
      <c r="A70" s="1">
        <v>45663</v>
      </c>
      <c r="B70" t="s">
        <v>145</v>
      </c>
      <c r="C70" t="s">
        <v>37</v>
      </c>
      <c r="D70" t="s">
        <v>38</v>
      </c>
      <c r="E70" t="s">
        <v>27</v>
      </c>
      <c r="F70" t="s">
        <v>16</v>
      </c>
      <c r="G70" t="s">
        <v>17</v>
      </c>
      <c r="H70">
        <v>1200</v>
      </c>
      <c r="I70">
        <v>198.31932773109199</v>
      </c>
      <c r="J70">
        <v>237983.19327731</v>
      </c>
      <c r="K70">
        <v>283200</v>
      </c>
    </row>
    <row r="71" spans="1:11" x14ac:dyDescent="0.25">
      <c r="A71" s="1">
        <v>45663</v>
      </c>
      <c r="B71" t="s">
        <v>145</v>
      </c>
      <c r="C71" t="s">
        <v>37</v>
      </c>
      <c r="D71" t="s">
        <v>38</v>
      </c>
      <c r="E71" t="s">
        <v>27</v>
      </c>
      <c r="F71" t="s">
        <v>16</v>
      </c>
      <c r="G71" t="s">
        <v>17</v>
      </c>
      <c r="H71">
        <v>1200</v>
      </c>
      <c r="I71">
        <v>198.31932773109199</v>
      </c>
      <c r="J71">
        <v>237983.19327731</v>
      </c>
      <c r="K71">
        <v>283200</v>
      </c>
    </row>
    <row r="72" spans="1:11" x14ac:dyDescent="0.25">
      <c r="A72" s="1">
        <v>45663</v>
      </c>
      <c r="B72" t="s">
        <v>145</v>
      </c>
      <c r="C72" t="s">
        <v>37</v>
      </c>
      <c r="D72" t="s">
        <v>38</v>
      </c>
      <c r="E72" t="s">
        <v>27</v>
      </c>
      <c r="F72" t="s">
        <v>20</v>
      </c>
      <c r="G72" t="s">
        <v>21</v>
      </c>
      <c r="H72">
        <v>10800</v>
      </c>
      <c r="I72">
        <v>231.09243697478999</v>
      </c>
      <c r="J72">
        <v>2495798.3193277302</v>
      </c>
      <c r="K72">
        <v>2970000</v>
      </c>
    </row>
    <row r="73" spans="1:11" x14ac:dyDescent="0.25">
      <c r="A73" s="1">
        <v>45663</v>
      </c>
      <c r="B73" t="s">
        <v>145</v>
      </c>
      <c r="C73" t="s">
        <v>37</v>
      </c>
      <c r="D73" t="s">
        <v>38</v>
      </c>
      <c r="E73" t="s">
        <v>27</v>
      </c>
      <c r="F73" t="s">
        <v>20</v>
      </c>
      <c r="G73" t="s">
        <v>21</v>
      </c>
      <c r="H73">
        <v>10800</v>
      </c>
      <c r="I73">
        <v>231.09243697478999</v>
      </c>
      <c r="J73">
        <v>2495798.3193277302</v>
      </c>
      <c r="K73">
        <v>2970000</v>
      </c>
    </row>
    <row r="74" spans="1:11" x14ac:dyDescent="0.25">
      <c r="A74" s="1">
        <v>45663</v>
      </c>
      <c r="B74" t="s">
        <v>146</v>
      </c>
      <c r="C74" t="s">
        <v>37</v>
      </c>
      <c r="D74" t="s">
        <v>38</v>
      </c>
      <c r="E74" t="s">
        <v>27</v>
      </c>
      <c r="F74" t="s">
        <v>22</v>
      </c>
      <c r="G74" t="s">
        <v>23</v>
      </c>
      <c r="H74">
        <v>8</v>
      </c>
      <c r="I74">
        <v>0</v>
      </c>
      <c r="J74">
        <v>0</v>
      </c>
      <c r="K74">
        <v>0</v>
      </c>
    </row>
    <row r="75" spans="1:11" x14ac:dyDescent="0.25">
      <c r="A75" s="1">
        <v>45663</v>
      </c>
      <c r="B75" t="s">
        <v>146</v>
      </c>
      <c r="C75" t="s">
        <v>37</v>
      </c>
      <c r="D75" t="s">
        <v>38</v>
      </c>
      <c r="E75" t="s">
        <v>27</v>
      </c>
      <c r="F75" t="s">
        <v>22</v>
      </c>
      <c r="G75" t="s">
        <v>23</v>
      </c>
      <c r="H75">
        <v>8</v>
      </c>
      <c r="I75">
        <v>0</v>
      </c>
      <c r="J75">
        <v>0</v>
      </c>
      <c r="K75">
        <v>0</v>
      </c>
    </row>
    <row r="76" spans="1:11" x14ac:dyDescent="0.25">
      <c r="A76" s="1">
        <v>45663</v>
      </c>
      <c r="B76" t="s">
        <v>145</v>
      </c>
      <c r="C76" t="s">
        <v>62</v>
      </c>
      <c r="D76" t="s">
        <v>63</v>
      </c>
      <c r="E76" t="s">
        <v>27</v>
      </c>
      <c r="F76" t="s">
        <v>16</v>
      </c>
      <c r="G76" t="s">
        <v>17</v>
      </c>
      <c r="H76">
        <v>3600</v>
      </c>
      <c r="I76">
        <v>198.31932773109199</v>
      </c>
      <c r="J76">
        <v>713949.57983193104</v>
      </c>
      <c r="K76">
        <v>849600</v>
      </c>
    </row>
    <row r="77" spans="1:11" x14ac:dyDescent="0.25">
      <c r="A77" s="1">
        <v>45663</v>
      </c>
      <c r="B77" t="s">
        <v>145</v>
      </c>
      <c r="C77" t="s">
        <v>62</v>
      </c>
      <c r="D77" t="s">
        <v>63</v>
      </c>
      <c r="E77" t="s">
        <v>27</v>
      </c>
      <c r="F77" t="s">
        <v>20</v>
      </c>
      <c r="G77" t="s">
        <v>21</v>
      </c>
      <c r="H77">
        <v>18000</v>
      </c>
      <c r="I77">
        <v>231.09243697478999</v>
      </c>
      <c r="J77">
        <v>4159663.86554622</v>
      </c>
      <c r="K77">
        <v>4950000</v>
      </c>
    </row>
    <row r="78" spans="1:11" x14ac:dyDescent="0.25">
      <c r="A78" s="1">
        <v>45663</v>
      </c>
      <c r="B78" t="s">
        <v>145</v>
      </c>
      <c r="C78" t="s">
        <v>62</v>
      </c>
      <c r="D78" t="s">
        <v>63</v>
      </c>
      <c r="E78" t="s">
        <v>27</v>
      </c>
      <c r="F78" t="s">
        <v>45</v>
      </c>
      <c r="G78" t="s">
        <v>46</v>
      </c>
      <c r="H78">
        <v>4800</v>
      </c>
      <c r="I78">
        <v>117.64705882352899</v>
      </c>
      <c r="J78">
        <v>564705.88235293899</v>
      </c>
      <c r="K78">
        <v>672000</v>
      </c>
    </row>
    <row r="79" spans="1:11" x14ac:dyDescent="0.25">
      <c r="A79" s="1">
        <v>45663</v>
      </c>
      <c r="B79" t="s">
        <v>146</v>
      </c>
      <c r="C79" t="s">
        <v>62</v>
      </c>
      <c r="D79" t="s">
        <v>63</v>
      </c>
      <c r="E79" t="s">
        <v>27</v>
      </c>
      <c r="F79" t="s">
        <v>22</v>
      </c>
      <c r="G79" t="s">
        <v>23</v>
      </c>
      <c r="H79">
        <v>18</v>
      </c>
      <c r="I79">
        <v>0</v>
      </c>
      <c r="J79">
        <v>0</v>
      </c>
      <c r="K79">
        <v>0</v>
      </c>
    </row>
    <row r="80" spans="1:11" x14ac:dyDescent="0.25">
      <c r="A80" s="1">
        <v>45664</v>
      </c>
      <c r="B80" t="s">
        <v>106</v>
      </c>
      <c r="C80" t="s">
        <v>75</v>
      </c>
      <c r="D80" t="s">
        <v>76</v>
      </c>
      <c r="E80" t="s">
        <v>77</v>
      </c>
      <c r="F80" t="s">
        <v>78</v>
      </c>
      <c r="G80" t="s">
        <v>79</v>
      </c>
      <c r="H80">
        <v>25000</v>
      </c>
      <c r="I80">
        <v>240.48</v>
      </c>
      <c r="J80">
        <v>6012000</v>
      </c>
      <c r="K80">
        <v>7154280</v>
      </c>
    </row>
    <row r="81" spans="1:11" x14ac:dyDescent="0.25">
      <c r="A81" s="1">
        <v>45664</v>
      </c>
      <c r="B81" t="s">
        <v>146</v>
      </c>
      <c r="C81" t="s">
        <v>83</v>
      </c>
      <c r="D81" t="s">
        <v>83</v>
      </c>
      <c r="E81" t="s">
        <v>80</v>
      </c>
      <c r="F81" t="s">
        <v>81</v>
      </c>
      <c r="G81" t="s">
        <v>82</v>
      </c>
      <c r="H81">
        <v>25</v>
      </c>
      <c r="I81">
        <v>2500</v>
      </c>
      <c r="J81">
        <v>62500</v>
      </c>
      <c r="K81">
        <v>62500</v>
      </c>
    </row>
    <row r="82" spans="1:11" x14ac:dyDescent="0.25">
      <c r="A82" s="1">
        <v>45664</v>
      </c>
      <c r="B82" t="s">
        <v>146</v>
      </c>
      <c r="C82" t="s">
        <v>83</v>
      </c>
      <c r="D82" t="s">
        <v>83</v>
      </c>
      <c r="E82" t="s">
        <v>80</v>
      </c>
      <c r="F82" t="s">
        <v>84</v>
      </c>
      <c r="G82" t="s">
        <v>85</v>
      </c>
      <c r="H82">
        <v>5250</v>
      </c>
      <c r="I82">
        <v>162</v>
      </c>
      <c r="J82">
        <v>850500</v>
      </c>
      <c r="K82">
        <v>1012095</v>
      </c>
    </row>
    <row r="83" spans="1:11" x14ac:dyDescent="0.25">
      <c r="A83" s="1">
        <v>45664</v>
      </c>
      <c r="B83" t="s">
        <v>106</v>
      </c>
      <c r="C83" t="s">
        <v>86</v>
      </c>
      <c r="D83" t="s">
        <v>87</v>
      </c>
      <c r="E83" t="s">
        <v>88</v>
      </c>
      <c r="F83" t="s">
        <v>78</v>
      </c>
      <c r="G83" t="s">
        <v>79</v>
      </c>
      <c r="H83">
        <v>20000</v>
      </c>
      <c r="I83">
        <v>240.48</v>
      </c>
      <c r="J83">
        <v>4809600</v>
      </c>
      <c r="K83">
        <v>5723424</v>
      </c>
    </row>
    <row r="84" spans="1:11" x14ac:dyDescent="0.25">
      <c r="A84" s="1">
        <v>45664</v>
      </c>
      <c r="B84" t="s">
        <v>106</v>
      </c>
      <c r="C84" t="s">
        <v>86</v>
      </c>
      <c r="D84" t="s">
        <v>87</v>
      </c>
      <c r="E84" t="s">
        <v>88</v>
      </c>
      <c r="F84" t="s">
        <v>78</v>
      </c>
      <c r="G84" t="s">
        <v>79</v>
      </c>
      <c r="H84">
        <v>20000</v>
      </c>
      <c r="I84">
        <v>240.48</v>
      </c>
      <c r="J84">
        <v>4809600</v>
      </c>
      <c r="K84">
        <v>5723424</v>
      </c>
    </row>
    <row r="85" spans="1:11" x14ac:dyDescent="0.25">
      <c r="A85" s="1">
        <v>45664</v>
      </c>
      <c r="B85" t="s">
        <v>106</v>
      </c>
      <c r="C85" t="s">
        <v>89</v>
      </c>
      <c r="D85" t="s">
        <v>90</v>
      </c>
      <c r="E85" t="s">
        <v>91</v>
      </c>
      <c r="F85" t="s">
        <v>78</v>
      </c>
      <c r="G85" t="s">
        <v>79</v>
      </c>
      <c r="H85">
        <v>25000</v>
      </c>
      <c r="I85">
        <v>240.48</v>
      </c>
      <c r="J85">
        <v>6012000</v>
      </c>
      <c r="K85">
        <v>7154280</v>
      </c>
    </row>
    <row r="86" spans="1:11" x14ac:dyDescent="0.25">
      <c r="A86" s="1">
        <v>45664</v>
      </c>
      <c r="B86" t="s">
        <v>106</v>
      </c>
      <c r="C86" t="s">
        <v>89</v>
      </c>
      <c r="D86" t="s">
        <v>90</v>
      </c>
      <c r="E86" t="s">
        <v>91</v>
      </c>
      <c r="F86" t="s">
        <v>78</v>
      </c>
      <c r="G86" t="s">
        <v>79</v>
      </c>
      <c r="H86">
        <v>25000</v>
      </c>
      <c r="I86">
        <v>240.48</v>
      </c>
      <c r="J86">
        <v>6012000</v>
      </c>
      <c r="K86">
        <v>7154280</v>
      </c>
    </row>
    <row r="87" spans="1:11" x14ac:dyDescent="0.25">
      <c r="A87" s="1">
        <v>45664</v>
      </c>
      <c r="B87" t="s">
        <v>106</v>
      </c>
      <c r="C87" t="s">
        <v>92</v>
      </c>
      <c r="D87" t="s">
        <v>93</v>
      </c>
      <c r="E87" t="s">
        <v>94</v>
      </c>
      <c r="F87" t="s">
        <v>78</v>
      </c>
      <c r="G87" t="s">
        <v>79</v>
      </c>
      <c r="H87">
        <v>25000</v>
      </c>
      <c r="I87">
        <v>240.48</v>
      </c>
      <c r="J87">
        <v>6012000</v>
      </c>
      <c r="K87">
        <v>7154280</v>
      </c>
    </row>
    <row r="88" spans="1:11" x14ac:dyDescent="0.25">
      <c r="A88" s="1">
        <v>45664</v>
      </c>
      <c r="B88" t="s">
        <v>145</v>
      </c>
      <c r="C88" t="s">
        <v>28</v>
      </c>
      <c r="D88" t="s">
        <v>28</v>
      </c>
      <c r="E88" t="s">
        <v>27</v>
      </c>
      <c r="F88" t="s">
        <v>12</v>
      </c>
      <c r="G88" t="s">
        <v>13</v>
      </c>
      <c r="H88">
        <v>1680</v>
      </c>
      <c r="I88">
        <v>96.6386554621849</v>
      </c>
      <c r="J88">
        <v>162352.94117647101</v>
      </c>
      <c r="K88">
        <v>193200</v>
      </c>
    </row>
    <row r="89" spans="1:11" x14ac:dyDescent="0.25">
      <c r="A89" s="1">
        <v>45664</v>
      </c>
      <c r="B89" t="s">
        <v>146</v>
      </c>
      <c r="C89" t="s">
        <v>28</v>
      </c>
      <c r="D89" t="s">
        <v>28</v>
      </c>
      <c r="E89" t="s">
        <v>27</v>
      </c>
      <c r="F89" t="s">
        <v>14</v>
      </c>
      <c r="G89" t="s">
        <v>15</v>
      </c>
      <c r="H89">
        <v>1200</v>
      </c>
      <c r="I89">
        <v>178.99159663865501</v>
      </c>
      <c r="J89">
        <v>214789.915966386</v>
      </c>
      <c r="K89">
        <v>255600</v>
      </c>
    </row>
    <row r="90" spans="1:11" x14ac:dyDescent="0.25">
      <c r="A90" s="1">
        <v>45664</v>
      </c>
      <c r="B90" t="s">
        <v>146</v>
      </c>
      <c r="C90" t="s">
        <v>28</v>
      </c>
      <c r="D90" t="s">
        <v>28</v>
      </c>
      <c r="E90" t="s">
        <v>27</v>
      </c>
      <c r="F90" t="s">
        <v>22</v>
      </c>
      <c r="G90" t="s">
        <v>23</v>
      </c>
      <c r="H90">
        <v>2</v>
      </c>
      <c r="I90">
        <v>0</v>
      </c>
      <c r="J90">
        <v>0</v>
      </c>
      <c r="K90">
        <v>0</v>
      </c>
    </row>
    <row r="91" spans="1:11" x14ac:dyDescent="0.25">
      <c r="A91" s="1">
        <v>45664</v>
      </c>
      <c r="B91" t="s">
        <v>145</v>
      </c>
      <c r="C91" t="s">
        <v>29</v>
      </c>
      <c r="D91" t="s">
        <v>30</v>
      </c>
      <c r="E91" t="s">
        <v>27</v>
      </c>
      <c r="F91" t="s">
        <v>20</v>
      </c>
      <c r="G91" t="s">
        <v>21</v>
      </c>
      <c r="H91">
        <v>24000</v>
      </c>
      <c r="I91">
        <v>231.09243697478999</v>
      </c>
      <c r="J91">
        <v>5546218.4873949597</v>
      </c>
      <c r="K91">
        <v>6600000</v>
      </c>
    </row>
    <row r="92" spans="1:11" x14ac:dyDescent="0.25">
      <c r="A92" s="1">
        <v>45664</v>
      </c>
      <c r="B92" t="s">
        <v>146</v>
      </c>
      <c r="C92" t="s">
        <v>29</v>
      </c>
      <c r="D92" t="s">
        <v>30</v>
      </c>
      <c r="E92" t="s">
        <v>27</v>
      </c>
      <c r="F92" t="s">
        <v>22</v>
      </c>
      <c r="G92" t="s">
        <v>23</v>
      </c>
      <c r="H92">
        <v>18</v>
      </c>
      <c r="I92">
        <v>0</v>
      </c>
      <c r="J92">
        <v>0</v>
      </c>
      <c r="K92">
        <v>0</v>
      </c>
    </row>
    <row r="93" spans="1:11" x14ac:dyDescent="0.25">
      <c r="A93" s="1">
        <v>45664</v>
      </c>
      <c r="B93" t="s">
        <v>145</v>
      </c>
      <c r="C93" t="s">
        <v>69</v>
      </c>
      <c r="D93" t="s">
        <v>26</v>
      </c>
      <c r="E93" t="s">
        <v>27</v>
      </c>
      <c r="F93" t="s">
        <v>16</v>
      </c>
      <c r="G93" t="s">
        <v>17</v>
      </c>
      <c r="H93">
        <v>1200</v>
      </c>
      <c r="I93">
        <v>198.31932773109199</v>
      </c>
      <c r="J93">
        <v>237983.19327731</v>
      </c>
      <c r="K93">
        <v>283200</v>
      </c>
    </row>
    <row r="94" spans="1:11" x14ac:dyDescent="0.25">
      <c r="A94" s="1">
        <v>45664</v>
      </c>
      <c r="B94" t="s">
        <v>145</v>
      </c>
      <c r="C94" t="s">
        <v>69</v>
      </c>
      <c r="D94" t="s">
        <v>26</v>
      </c>
      <c r="E94" t="s">
        <v>27</v>
      </c>
      <c r="F94" t="s">
        <v>20</v>
      </c>
      <c r="G94" t="s">
        <v>21</v>
      </c>
      <c r="H94">
        <v>12000</v>
      </c>
      <c r="I94">
        <v>231.09243697478999</v>
      </c>
      <c r="J94">
        <v>2773109.2436974798</v>
      </c>
      <c r="K94">
        <v>3300000</v>
      </c>
    </row>
    <row r="95" spans="1:11" x14ac:dyDescent="0.25">
      <c r="A95" s="1">
        <v>45664</v>
      </c>
      <c r="B95" t="s">
        <v>146</v>
      </c>
      <c r="C95" t="s">
        <v>69</v>
      </c>
      <c r="D95" t="s">
        <v>26</v>
      </c>
      <c r="E95" t="s">
        <v>27</v>
      </c>
      <c r="F95" t="s">
        <v>22</v>
      </c>
      <c r="G95" t="s">
        <v>23</v>
      </c>
      <c r="H95">
        <v>8</v>
      </c>
      <c r="I95">
        <v>0</v>
      </c>
      <c r="J95">
        <v>0</v>
      </c>
      <c r="K95">
        <v>0</v>
      </c>
    </row>
    <row r="96" spans="1:11" x14ac:dyDescent="0.25">
      <c r="A96" s="1">
        <v>45665</v>
      </c>
      <c r="B96" t="s">
        <v>145</v>
      </c>
      <c r="C96" t="s">
        <v>47</v>
      </c>
      <c r="D96" t="s">
        <v>48</v>
      </c>
      <c r="E96" t="s">
        <v>27</v>
      </c>
      <c r="F96" t="s">
        <v>16</v>
      </c>
      <c r="G96" t="s">
        <v>17</v>
      </c>
      <c r="H96">
        <v>7200</v>
      </c>
      <c r="I96">
        <v>198.31932773109199</v>
      </c>
      <c r="J96">
        <v>1427899.15966386</v>
      </c>
      <c r="K96">
        <v>1699200.00000001</v>
      </c>
    </row>
    <row r="97" spans="1:11" x14ac:dyDescent="0.25">
      <c r="A97" s="1">
        <v>45665</v>
      </c>
      <c r="B97" t="s">
        <v>145</v>
      </c>
      <c r="C97" t="s">
        <v>47</v>
      </c>
      <c r="D97" t="s">
        <v>48</v>
      </c>
      <c r="E97" t="s">
        <v>27</v>
      </c>
      <c r="F97" t="s">
        <v>20</v>
      </c>
      <c r="G97" t="s">
        <v>21</v>
      </c>
      <c r="H97">
        <v>15600</v>
      </c>
      <c r="I97">
        <v>231.09243697478999</v>
      </c>
      <c r="J97">
        <v>3605042.0168067198</v>
      </c>
      <c r="K97">
        <v>4290000</v>
      </c>
    </row>
    <row r="98" spans="1:11" x14ac:dyDescent="0.25">
      <c r="A98" s="1">
        <v>45665</v>
      </c>
      <c r="B98" t="s">
        <v>146</v>
      </c>
      <c r="C98" t="s">
        <v>47</v>
      </c>
      <c r="D98" t="s">
        <v>48</v>
      </c>
      <c r="E98" t="s">
        <v>27</v>
      </c>
      <c r="F98" t="s">
        <v>22</v>
      </c>
      <c r="G98" t="s">
        <v>23</v>
      </c>
      <c r="H98">
        <v>16</v>
      </c>
      <c r="I98">
        <v>0</v>
      </c>
      <c r="J98">
        <v>0</v>
      </c>
      <c r="K98">
        <v>0</v>
      </c>
    </row>
    <row r="99" spans="1:11" x14ac:dyDescent="0.25">
      <c r="A99" s="1">
        <v>45665</v>
      </c>
      <c r="B99" t="s">
        <v>146</v>
      </c>
      <c r="C99" t="s">
        <v>47</v>
      </c>
      <c r="D99" t="s">
        <v>48</v>
      </c>
      <c r="E99" t="s">
        <v>27</v>
      </c>
      <c r="F99" t="s">
        <v>58</v>
      </c>
      <c r="G99" t="s">
        <v>59</v>
      </c>
      <c r="H99">
        <v>2400</v>
      </c>
      <c r="I99">
        <v>120.168067226891</v>
      </c>
      <c r="J99">
        <v>288403.36134453799</v>
      </c>
      <c r="K99">
        <v>343200</v>
      </c>
    </row>
    <row r="100" spans="1:11" x14ac:dyDescent="0.25">
      <c r="A100" s="1">
        <v>45665</v>
      </c>
      <c r="B100" t="s">
        <v>145</v>
      </c>
      <c r="C100" t="s">
        <v>47</v>
      </c>
      <c r="D100" t="s">
        <v>48</v>
      </c>
      <c r="E100" t="s">
        <v>27</v>
      </c>
      <c r="F100" t="s">
        <v>24</v>
      </c>
      <c r="G100" t="s">
        <v>25</v>
      </c>
      <c r="H100">
        <v>2400</v>
      </c>
      <c r="I100">
        <v>89.915966386554601</v>
      </c>
      <c r="J100">
        <v>215798.31932773101</v>
      </c>
      <c r="K100">
        <v>256800</v>
      </c>
    </row>
    <row r="101" spans="1:11" x14ac:dyDescent="0.25">
      <c r="A101" s="1">
        <v>45665</v>
      </c>
      <c r="B101" t="s">
        <v>145</v>
      </c>
      <c r="C101" t="s">
        <v>95</v>
      </c>
      <c r="D101" t="s">
        <v>95</v>
      </c>
      <c r="E101" t="s">
        <v>27</v>
      </c>
      <c r="F101" t="s">
        <v>20</v>
      </c>
      <c r="G101" t="s">
        <v>21</v>
      </c>
      <c r="H101">
        <v>16800</v>
      </c>
      <c r="I101">
        <v>231.09243697478999</v>
      </c>
      <c r="J101">
        <v>3882352.9411764699</v>
      </c>
      <c r="K101">
        <v>4620000</v>
      </c>
    </row>
    <row r="102" spans="1:11" x14ac:dyDescent="0.25">
      <c r="A102" s="1">
        <v>45665</v>
      </c>
      <c r="B102" t="s">
        <v>145</v>
      </c>
      <c r="C102" t="s">
        <v>95</v>
      </c>
      <c r="D102" t="s">
        <v>95</v>
      </c>
      <c r="E102" t="s">
        <v>27</v>
      </c>
      <c r="F102" t="s">
        <v>43</v>
      </c>
      <c r="G102" t="s">
        <v>44</v>
      </c>
      <c r="H102">
        <v>4800</v>
      </c>
      <c r="I102">
        <v>214.28571428571399</v>
      </c>
      <c r="J102">
        <v>1028571.42857143</v>
      </c>
      <c r="K102">
        <v>1224000</v>
      </c>
    </row>
    <row r="103" spans="1:11" x14ac:dyDescent="0.25">
      <c r="A103" s="1">
        <v>45665</v>
      </c>
      <c r="B103" t="s">
        <v>146</v>
      </c>
      <c r="C103" t="s">
        <v>95</v>
      </c>
      <c r="D103" t="s">
        <v>95</v>
      </c>
      <c r="E103" t="s">
        <v>27</v>
      </c>
      <c r="F103" t="s">
        <v>22</v>
      </c>
      <c r="G103" t="s">
        <v>23</v>
      </c>
      <c r="H103">
        <v>18</v>
      </c>
      <c r="I103">
        <v>0</v>
      </c>
      <c r="J103">
        <v>0</v>
      </c>
      <c r="K103">
        <v>0</v>
      </c>
    </row>
    <row r="104" spans="1:11" x14ac:dyDescent="0.25">
      <c r="A104" s="1">
        <v>45665</v>
      </c>
      <c r="B104" t="s">
        <v>146</v>
      </c>
      <c r="C104" t="s">
        <v>95</v>
      </c>
      <c r="D104" t="s">
        <v>95</v>
      </c>
      <c r="E104" t="s">
        <v>27</v>
      </c>
      <c r="F104" t="s">
        <v>67</v>
      </c>
      <c r="G104" t="s">
        <v>68</v>
      </c>
      <c r="H104">
        <v>4800</v>
      </c>
      <c r="I104">
        <v>109.243697478992</v>
      </c>
      <c r="J104">
        <v>524369.747899162</v>
      </c>
      <c r="K104">
        <v>624000</v>
      </c>
    </row>
    <row r="105" spans="1:11" x14ac:dyDescent="0.25">
      <c r="A105" s="1">
        <v>45665</v>
      </c>
      <c r="B105" t="s">
        <v>145</v>
      </c>
      <c r="C105" t="s">
        <v>60</v>
      </c>
      <c r="D105" t="s">
        <v>61</v>
      </c>
      <c r="E105" t="s">
        <v>27</v>
      </c>
      <c r="F105" t="s">
        <v>20</v>
      </c>
      <c r="G105" t="s">
        <v>21</v>
      </c>
      <c r="H105">
        <v>21600</v>
      </c>
      <c r="I105">
        <v>231.09243697478999</v>
      </c>
      <c r="J105">
        <v>4991596.6386554604</v>
      </c>
      <c r="K105">
        <v>5940000</v>
      </c>
    </row>
    <row r="106" spans="1:11" x14ac:dyDescent="0.25">
      <c r="A106" s="1">
        <v>45665</v>
      </c>
      <c r="B106" t="s">
        <v>146</v>
      </c>
      <c r="C106" t="s">
        <v>60</v>
      </c>
      <c r="D106" t="s">
        <v>61</v>
      </c>
      <c r="E106" t="s">
        <v>27</v>
      </c>
      <c r="F106" t="s">
        <v>22</v>
      </c>
      <c r="G106" t="s">
        <v>23</v>
      </c>
      <c r="H106">
        <v>18</v>
      </c>
      <c r="I106">
        <v>0</v>
      </c>
      <c r="J106">
        <v>0</v>
      </c>
      <c r="K106">
        <v>0</v>
      </c>
    </row>
    <row r="107" spans="1:11" x14ac:dyDescent="0.25">
      <c r="A107" s="1">
        <v>45665</v>
      </c>
      <c r="B107" t="s">
        <v>146</v>
      </c>
      <c r="C107" t="s">
        <v>60</v>
      </c>
      <c r="D107" t="s">
        <v>61</v>
      </c>
      <c r="E107" t="s">
        <v>27</v>
      </c>
      <c r="F107" t="s">
        <v>67</v>
      </c>
      <c r="G107" t="s">
        <v>68</v>
      </c>
      <c r="H107">
        <v>4800</v>
      </c>
      <c r="I107">
        <v>109.243697478992</v>
      </c>
      <c r="J107">
        <v>524369.747899162</v>
      </c>
      <c r="K107">
        <v>624000</v>
      </c>
    </row>
    <row r="108" spans="1:11" x14ac:dyDescent="0.25">
      <c r="A108" s="1">
        <v>45666</v>
      </c>
      <c r="B108" t="s">
        <v>145</v>
      </c>
      <c r="C108" t="s">
        <v>41</v>
      </c>
      <c r="D108" t="s">
        <v>42</v>
      </c>
      <c r="E108" t="s">
        <v>27</v>
      </c>
      <c r="F108" t="s">
        <v>18</v>
      </c>
      <c r="G108" t="s">
        <v>19</v>
      </c>
      <c r="H108">
        <v>24000</v>
      </c>
      <c r="I108">
        <v>126.05042016806701</v>
      </c>
      <c r="J108">
        <v>3025210.0840336098</v>
      </c>
      <c r="K108">
        <v>3600000</v>
      </c>
    </row>
    <row r="109" spans="1:11" x14ac:dyDescent="0.25">
      <c r="A109" s="1">
        <v>45666</v>
      </c>
      <c r="B109" t="s">
        <v>146</v>
      </c>
      <c r="C109" t="s">
        <v>41</v>
      </c>
      <c r="D109" t="s">
        <v>42</v>
      </c>
      <c r="E109" t="s">
        <v>27</v>
      </c>
      <c r="F109" t="s">
        <v>22</v>
      </c>
      <c r="G109" t="s">
        <v>23</v>
      </c>
      <c r="H109">
        <v>10</v>
      </c>
      <c r="I109">
        <v>0</v>
      </c>
      <c r="J109">
        <v>0</v>
      </c>
      <c r="K109">
        <v>0</v>
      </c>
    </row>
    <row r="110" spans="1:11" x14ac:dyDescent="0.25">
      <c r="A110" s="1">
        <v>45666</v>
      </c>
      <c r="B110" t="s">
        <v>145</v>
      </c>
      <c r="C110" t="s">
        <v>32</v>
      </c>
      <c r="D110" t="s">
        <v>32</v>
      </c>
      <c r="E110" t="s">
        <v>27</v>
      </c>
      <c r="F110" t="s">
        <v>18</v>
      </c>
      <c r="G110" t="s">
        <v>19</v>
      </c>
      <c r="H110">
        <v>48000</v>
      </c>
      <c r="I110">
        <v>126.05042016806701</v>
      </c>
      <c r="J110">
        <v>6050420.1680672197</v>
      </c>
      <c r="K110">
        <v>7200000</v>
      </c>
    </row>
    <row r="111" spans="1:11" x14ac:dyDescent="0.25">
      <c r="A111" s="1">
        <v>45666</v>
      </c>
      <c r="B111" t="s">
        <v>146</v>
      </c>
      <c r="C111" t="s">
        <v>32</v>
      </c>
      <c r="D111" t="s">
        <v>32</v>
      </c>
      <c r="E111" t="s">
        <v>27</v>
      </c>
      <c r="F111" t="s">
        <v>22</v>
      </c>
      <c r="G111" t="s">
        <v>23</v>
      </c>
      <c r="H111">
        <v>18</v>
      </c>
      <c r="I111">
        <v>0</v>
      </c>
      <c r="J111">
        <v>0</v>
      </c>
      <c r="K111">
        <v>0</v>
      </c>
    </row>
    <row r="112" spans="1:11" x14ac:dyDescent="0.25">
      <c r="A112" s="1">
        <v>45666</v>
      </c>
      <c r="B112" t="s">
        <v>106</v>
      </c>
      <c r="C112" t="s">
        <v>89</v>
      </c>
      <c r="D112" t="s">
        <v>90</v>
      </c>
      <c r="E112" t="s">
        <v>91</v>
      </c>
      <c r="F112" t="s">
        <v>78</v>
      </c>
      <c r="G112" t="s">
        <v>79</v>
      </c>
      <c r="H112">
        <v>20000</v>
      </c>
      <c r="I112">
        <v>240.48</v>
      </c>
      <c r="J112">
        <v>4809600</v>
      </c>
      <c r="K112">
        <v>5723424</v>
      </c>
    </row>
    <row r="113" spans="1:11" x14ac:dyDescent="0.25">
      <c r="A113" s="1">
        <v>45666</v>
      </c>
      <c r="B113" t="s">
        <v>106</v>
      </c>
      <c r="C113" t="s">
        <v>89</v>
      </c>
      <c r="D113" t="s">
        <v>90</v>
      </c>
      <c r="E113" t="s">
        <v>91</v>
      </c>
      <c r="F113" t="s">
        <v>78</v>
      </c>
      <c r="G113" t="s">
        <v>79</v>
      </c>
      <c r="H113">
        <v>20000</v>
      </c>
      <c r="I113">
        <v>240.48</v>
      </c>
      <c r="J113">
        <v>4809600</v>
      </c>
      <c r="K113">
        <v>5723424</v>
      </c>
    </row>
    <row r="114" spans="1:11" x14ac:dyDescent="0.25">
      <c r="A114" s="1">
        <v>45666</v>
      </c>
      <c r="B114" t="s">
        <v>106</v>
      </c>
      <c r="C114" t="s">
        <v>96</v>
      </c>
      <c r="D114" t="s">
        <v>97</v>
      </c>
      <c r="E114" t="s">
        <v>98</v>
      </c>
      <c r="F114" t="s">
        <v>78</v>
      </c>
      <c r="G114" t="s">
        <v>79</v>
      </c>
      <c r="H114">
        <v>20000</v>
      </c>
      <c r="I114">
        <v>240.48</v>
      </c>
      <c r="J114">
        <v>4809600</v>
      </c>
      <c r="K114">
        <v>5723424</v>
      </c>
    </row>
    <row r="115" spans="1:11" x14ac:dyDescent="0.25">
      <c r="A115" s="1">
        <v>45666</v>
      </c>
      <c r="B115" t="s">
        <v>106</v>
      </c>
      <c r="C115" t="s">
        <v>96</v>
      </c>
      <c r="D115" t="s">
        <v>97</v>
      </c>
      <c r="E115" t="s">
        <v>98</v>
      </c>
      <c r="F115" t="s">
        <v>78</v>
      </c>
      <c r="G115" t="s">
        <v>79</v>
      </c>
      <c r="H115">
        <v>20000</v>
      </c>
      <c r="I115">
        <v>240.48</v>
      </c>
      <c r="J115">
        <v>4809600</v>
      </c>
      <c r="K115">
        <v>5723424</v>
      </c>
    </row>
    <row r="116" spans="1:11" x14ac:dyDescent="0.25">
      <c r="A116" s="1">
        <v>45666</v>
      </c>
      <c r="B116" t="s">
        <v>145</v>
      </c>
      <c r="C116" t="s">
        <v>99</v>
      </c>
      <c r="D116" t="s">
        <v>100</v>
      </c>
      <c r="E116" t="s">
        <v>27</v>
      </c>
      <c r="F116" t="s">
        <v>16</v>
      </c>
      <c r="G116" t="s">
        <v>17</v>
      </c>
      <c r="H116">
        <v>3600</v>
      </c>
      <c r="I116">
        <v>198.31932773109199</v>
      </c>
      <c r="J116">
        <v>713949.57983193104</v>
      </c>
      <c r="K116">
        <v>849600</v>
      </c>
    </row>
    <row r="117" spans="1:11" x14ac:dyDescent="0.25">
      <c r="A117" s="1">
        <v>45666</v>
      </c>
      <c r="B117" t="s">
        <v>145</v>
      </c>
      <c r="C117" t="s">
        <v>99</v>
      </c>
      <c r="D117" t="s">
        <v>100</v>
      </c>
      <c r="E117" t="s">
        <v>27</v>
      </c>
      <c r="F117" t="s">
        <v>18</v>
      </c>
      <c r="G117" t="s">
        <v>19</v>
      </c>
      <c r="H117">
        <v>7200</v>
      </c>
      <c r="I117">
        <v>126.05042016806701</v>
      </c>
      <c r="J117">
        <v>907563.02521008195</v>
      </c>
      <c r="K117">
        <v>1080000</v>
      </c>
    </row>
    <row r="118" spans="1:11" x14ac:dyDescent="0.25">
      <c r="A118" s="1">
        <v>45666</v>
      </c>
      <c r="B118" t="s">
        <v>145</v>
      </c>
      <c r="C118" t="s">
        <v>99</v>
      </c>
      <c r="D118" t="s">
        <v>100</v>
      </c>
      <c r="E118" t="s">
        <v>27</v>
      </c>
      <c r="F118" t="s">
        <v>20</v>
      </c>
      <c r="G118" t="s">
        <v>21</v>
      </c>
      <c r="H118">
        <v>4800</v>
      </c>
      <c r="I118">
        <v>231.09243697478999</v>
      </c>
      <c r="J118">
        <v>1109243.6974789901</v>
      </c>
      <c r="K118">
        <v>1320000</v>
      </c>
    </row>
    <row r="119" spans="1:11" x14ac:dyDescent="0.25">
      <c r="A119" s="1">
        <v>45666</v>
      </c>
      <c r="B119" t="s">
        <v>146</v>
      </c>
      <c r="C119" t="s">
        <v>99</v>
      </c>
      <c r="D119" t="s">
        <v>100</v>
      </c>
      <c r="E119" t="s">
        <v>27</v>
      </c>
      <c r="F119" t="s">
        <v>22</v>
      </c>
      <c r="G119" t="s">
        <v>23</v>
      </c>
      <c r="H119">
        <v>8</v>
      </c>
      <c r="I119">
        <v>0</v>
      </c>
      <c r="J119">
        <v>0</v>
      </c>
      <c r="K119">
        <v>0</v>
      </c>
    </row>
    <row r="120" spans="1:11" x14ac:dyDescent="0.25">
      <c r="A120" s="1">
        <v>45666</v>
      </c>
      <c r="B120" t="s">
        <v>145</v>
      </c>
      <c r="C120" t="s">
        <v>99</v>
      </c>
      <c r="D120" t="s">
        <v>100</v>
      </c>
      <c r="E120" t="s">
        <v>27</v>
      </c>
      <c r="F120" t="s">
        <v>24</v>
      </c>
      <c r="G120" t="s">
        <v>25</v>
      </c>
      <c r="H120">
        <v>2400</v>
      </c>
      <c r="I120">
        <v>89.915966386554601</v>
      </c>
      <c r="J120">
        <v>215798.31932773101</v>
      </c>
      <c r="K120">
        <v>256800</v>
      </c>
    </row>
    <row r="121" spans="1:11" x14ac:dyDescent="0.25">
      <c r="A121" s="1">
        <v>45666</v>
      </c>
      <c r="B121" t="s">
        <v>145</v>
      </c>
      <c r="C121" t="s">
        <v>101</v>
      </c>
      <c r="D121" t="s">
        <v>101</v>
      </c>
      <c r="E121" t="s">
        <v>27</v>
      </c>
      <c r="F121" t="s">
        <v>18</v>
      </c>
      <c r="G121" t="s">
        <v>19</v>
      </c>
      <c r="H121">
        <v>12000</v>
      </c>
      <c r="I121">
        <v>126.05042016806701</v>
      </c>
      <c r="J121">
        <v>1512605.0420168</v>
      </c>
      <c r="K121">
        <v>1800000</v>
      </c>
    </row>
    <row r="122" spans="1:11" x14ac:dyDescent="0.25">
      <c r="A122" s="1">
        <v>45666</v>
      </c>
      <c r="B122" t="s">
        <v>145</v>
      </c>
      <c r="C122" t="s">
        <v>101</v>
      </c>
      <c r="D122" t="s">
        <v>101</v>
      </c>
      <c r="E122" t="s">
        <v>27</v>
      </c>
      <c r="F122" t="s">
        <v>20</v>
      </c>
      <c r="G122" t="s">
        <v>21</v>
      </c>
      <c r="H122">
        <v>3600</v>
      </c>
      <c r="I122">
        <v>231.09243697478999</v>
      </c>
      <c r="J122">
        <v>831932.77310924395</v>
      </c>
      <c r="K122">
        <v>990000</v>
      </c>
    </row>
    <row r="123" spans="1:11" x14ac:dyDescent="0.25">
      <c r="A123" s="1">
        <v>45666</v>
      </c>
      <c r="B123" t="s">
        <v>146</v>
      </c>
      <c r="C123" t="s">
        <v>101</v>
      </c>
      <c r="D123" t="s">
        <v>101</v>
      </c>
      <c r="E123" t="s">
        <v>27</v>
      </c>
      <c r="F123" t="s">
        <v>22</v>
      </c>
      <c r="G123" t="s">
        <v>23</v>
      </c>
      <c r="H123">
        <v>8</v>
      </c>
      <c r="I123">
        <v>0</v>
      </c>
      <c r="J123">
        <v>0</v>
      </c>
      <c r="K123">
        <v>0</v>
      </c>
    </row>
    <row r="124" spans="1:11" x14ac:dyDescent="0.25">
      <c r="A124" s="1">
        <v>45666</v>
      </c>
      <c r="B124" t="s">
        <v>146</v>
      </c>
      <c r="C124" t="s">
        <v>101</v>
      </c>
      <c r="D124" t="s">
        <v>101</v>
      </c>
      <c r="E124" t="s">
        <v>27</v>
      </c>
      <c r="F124" t="s">
        <v>58</v>
      </c>
      <c r="G124" t="s">
        <v>59</v>
      </c>
      <c r="H124">
        <v>4800</v>
      </c>
      <c r="I124">
        <v>120.168067226891</v>
      </c>
      <c r="J124">
        <v>576806.72268907703</v>
      </c>
      <c r="K124">
        <v>686400.00000001001</v>
      </c>
    </row>
    <row r="125" spans="1:11" x14ac:dyDescent="0.25">
      <c r="A125" s="1">
        <v>45666</v>
      </c>
      <c r="B125" t="s">
        <v>145</v>
      </c>
      <c r="C125" t="s">
        <v>102</v>
      </c>
      <c r="D125" t="s">
        <v>102</v>
      </c>
      <c r="E125" t="s">
        <v>27</v>
      </c>
      <c r="F125" t="s">
        <v>16</v>
      </c>
      <c r="G125" t="s">
        <v>17</v>
      </c>
      <c r="H125">
        <v>4800</v>
      </c>
      <c r="I125">
        <v>198.31932773109199</v>
      </c>
      <c r="J125">
        <v>951932.77310924197</v>
      </c>
      <c r="K125">
        <v>1132800</v>
      </c>
    </row>
    <row r="126" spans="1:11" x14ac:dyDescent="0.25">
      <c r="A126" s="1">
        <v>45666</v>
      </c>
      <c r="B126" t="s">
        <v>145</v>
      </c>
      <c r="C126" t="s">
        <v>102</v>
      </c>
      <c r="D126" t="s">
        <v>102</v>
      </c>
      <c r="E126" t="s">
        <v>27</v>
      </c>
      <c r="F126" t="s">
        <v>18</v>
      </c>
      <c r="G126" t="s">
        <v>19</v>
      </c>
      <c r="H126">
        <v>38400</v>
      </c>
      <c r="I126">
        <v>126.05042016806701</v>
      </c>
      <c r="J126">
        <v>4840336.1344537698</v>
      </c>
      <c r="K126">
        <v>5760000</v>
      </c>
    </row>
    <row r="127" spans="1:11" x14ac:dyDescent="0.25">
      <c r="A127" s="1">
        <v>45666</v>
      </c>
      <c r="B127" t="s">
        <v>146</v>
      </c>
      <c r="C127" t="s">
        <v>102</v>
      </c>
      <c r="D127" t="s">
        <v>102</v>
      </c>
      <c r="E127" t="s">
        <v>27</v>
      </c>
      <c r="F127" t="s">
        <v>22</v>
      </c>
      <c r="G127" t="s">
        <v>23</v>
      </c>
      <c r="H127">
        <v>18</v>
      </c>
      <c r="I127">
        <v>0</v>
      </c>
      <c r="J127">
        <v>0</v>
      </c>
      <c r="K127">
        <v>0</v>
      </c>
    </row>
    <row r="128" spans="1:11" x14ac:dyDescent="0.25">
      <c r="A128" s="1">
        <v>45666</v>
      </c>
      <c r="B128" t="s">
        <v>146</v>
      </c>
      <c r="C128" t="s">
        <v>102</v>
      </c>
      <c r="D128" t="s">
        <v>102</v>
      </c>
      <c r="E128" t="s">
        <v>27</v>
      </c>
      <c r="F128" t="s">
        <v>58</v>
      </c>
      <c r="G128" t="s">
        <v>59</v>
      </c>
      <c r="H128">
        <v>2400</v>
      </c>
      <c r="I128">
        <v>120.168067226891</v>
      </c>
      <c r="J128">
        <v>288403.36134453799</v>
      </c>
      <c r="K128">
        <v>343200</v>
      </c>
    </row>
    <row r="129" spans="1:11" x14ac:dyDescent="0.25">
      <c r="A129" s="1">
        <v>45666</v>
      </c>
      <c r="B129" t="s">
        <v>145</v>
      </c>
      <c r="C129" t="s">
        <v>102</v>
      </c>
      <c r="D129" t="s">
        <v>102</v>
      </c>
      <c r="E129" t="s">
        <v>27</v>
      </c>
      <c r="F129" t="s">
        <v>24</v>
      </c>
      <c r="G129" t="s">
        <v>25</v>
      </c>
      <c r="H129">
        <v>2400</v>
      </c>
      <c r="I129">
        <v>89.915966386554601</v>
      </c>
      <c r="J129">
        <v>215798.31932773101</v>
      </c>
      <c r="K129">
        <v>256800</v>
      </c>
    </row>
    <row r="130" spans="1:11" x14ac:dyDescent="0.25">
      <c r="A130" s="1">
        <v>45666</v>
      </c>
      <c r="B130" t="s">
        <v>145</v>
      </c>
      <c r="C130" t="s">
        <v>33</v>
      </c>
      <c r="D130" t="s">
        <v>34</v>
      </c>
      <c r="E130" t="s">
        <v>27</v>
      </c>
      <c r="F130" t="s">
        <v>20</v>
      </c>
      <c r="G130" t="s">
        <v>21</v>
      </c>
      <c r="H130">
        <v>24000</v>
      </c>
      <c r="I130">
        <v>231.09243697478999</v>
      </c>
      <c r="J130">
        <v>5546218.4873949597</v>
      </c>
      <c r="K130">
        <v>6600000</v>
      </c>
    </row>
    <row r="131" spans="1:11" x14ac:dyDescent="0.25">
      <c r="A131" s="1">
        <v>45666</v>
      </c>
      <c r="B131" t="s">
        <v>146</v>
      </c>
      <c r="C131" t="s">
        <v>33</v>
      </c>
      <c r="D131" t="s">
        <v>34</v>
      </c>
      <c r="E131" t="s">
        <v>27</v>
      </c>
      <c r="F131" t="s">
        <v>22</v>
      </c>
      <c r="G131" t="s">
        <v>23</v>
      </c>
      <c r="H131">
        <v>16</v>
      </c>
      <c r="I131">
        <v>0</v>
      </c>
      <c r="J131">
        <v>0</v>
      </c>
      <c r="K131">
        <v>0</v>
      </c>
    </row>
    <row r="132" spans="1:11" x14ac:dyDescent="0.25">
      <c r="A132" s="1">
        <v>45666</v>
      </c>
      <c r="B132" t="s">
        <v>145</v>
      </c>
      <c r="C132" t="s">
        <v>37</v>
      </c>
      <c r="D132" t="s">
        <v>38</v>
      </c>
      <c r="E132" t="s">
        <v>27</v>
      </c>
      <c r="F132" t="s">
        <v>20</v>
      </c>
      <c r="G132" t="s">
        <v>21</v>
      </c>
      <c r="H132">
        <v>12000</v>
      </c>
      <c r="I132">
        <v>231.09243697478999</v>
      </c>
      <c r="J132">
        <v>2773109.2436974798</v>
      </c>
      <c r="K132">
        <v>3300000</v>
      </c>
    </row>
    <row r="133" spans="1:11" x14ac:dyDescent="0.25">
      <c r="A133" s="1">
        <v>45666</v>
      </c>
      <c r="B133" t="s">
        <v>146</v>
      </c>
      <c r="C133" t="s">
        <v>37</v>
      </c>
      <c r="D133" t="s">
        <v>38</v>
      </c>
      <c r="E133" t="s">
        <v>27</v>
      </c>
      <c r="F133" t="s">
        <v>22</v>
      </c>
      <c r="G133" t="s">
        <v>23</v>
      </c>
      <c r="H133">
        <v>8</v>
      </c>
      <c r="I133">
        <v>0</v>
      </c>
      <c r="J133">
        <v>0</v>
      </c>
      <c r="K133">
        <v>0</v>
      </c>
    </row>
    <row r="134" spans="1:11" x14ac:dyDescent="0.25">
      <c r="A134" s="1">
        <v>45666</v>
      </c>
      <c r="B134" t="s">
        <v>145</v>
      </c>
      <c r="C134" t="s">
        <v>103</v>
      </c>
      <c r="D134" t="s">
        <v>104</v>
      </c>
      <c r="E134" t="s">
        <v>27</v>
      </c>
      <c r="F134" t="s">
        <v>16</v>
      </c>
      <c r="G134" t="s">
        <v>17</v>
      </c>
      <c r="H134">
        <v>1200</v>
      </c>
      <c r="I134">
        <v>198.31932773109199</v>
      </c>
      <c r="J134">
        <v>237983.19327731</v>
      </c>
      <c r="K134">
        <v>283200</v>
      </c>
    </row>
    <row r="135" spans="1:11" x14ac:dyDescent="0.25">
      <c r="A135" s="1">
        <v>45666</v>
      </c>
      <c r="B135" t="s">
        <v>145</v>
      </c>
      <c r="C135" t="s">
        <v>103</v>
      </c>
      <c r="D135" t="s">
        <v>104</v>
      </c>
      <c r="E135" t="s">
        <v>27</v>
      </c>
      <c r="F135" t="s">
        <v>18</v>
      </c>
      <c r="G135" t="s">
        <v>19</v>
      </c>
      <c r="H135">
        <v>4800</v>
      </c>
      <c r="I135">
        <v>126.05042016806701</v>
      </c>
      <c r="J135">
        <v>605042.01680672204</v>
      </c>
      <c r="K135">
        <v>720000</v>
      </c>
    </row>
    <row r="136" spans="1:11" x14ac:dyDescent="0.25">
      <c r="A136" s="1">
        <v>45666</v>
      </c>
      <c r="B136" t="s">
        <v>145</v>
      </c>
      <c r="C136" t="s">
        <v>103</v>
      </c>
      <c r="D136" t="s">
        <v>104</v>
      </c>
      <c r="E136" t="s">
        <v>27</v>
      </c>
      <c r="F136" t="s">
        <v>20</v>
      </c>
      <c r="G136" t="s">
        <v>21</v>
      </c>
      <c r="H136">
        <v>19200</v>
      </c>
      <c r="I136">
        <v>231.09243697478999</v>
      </c>
      <c r="J136">
        <v>4436974.7899159696</v>
      </c>
      <c r="K136">
        <v>5280000</v>
      </c>
    </row>
    <row r="137" spans="1:11" x14ac:dyDescent="0.25">
      <c r="A137" s="1">
        <v>45666</v>
      </c>
      <c r="B137" t="s">
        <v>146</v>
      </c>
      <c r="C137" t="s">
        <v>103</v>
      </c>
      <c r="D137" t="s">
        <v>104</v>
      </c>
      <c r="E137" t="s">
        <v>27</v>
      </c>
      <c r="F137" t="s">
        <v>22</v>
      </c>
      <c r="G137" t="s">
        <v>23</v>
      </c>
      <c r="H137">
        <v>18</v>
      </c>
      <c r="I137">
        <v>0</v>
      </c>
      <c r="J137">
        <v>0</v>
      </c>
      <c r="K137">
        <v>0</v>
      </c>
    </row>
    <row r="138" spans="1:11" x14ac:dyDescent="0.25">
      <c r="A138" s="1">
        <v>45666</v>
      </c>
      <c r="B138" t="s">
        <v>146</v>
      </c>
      <c r="C138" t="s">
        <v>103</v>
      </c>
      <c r="D138" t="s">
        <v>104</v>
      </c>
      <c r="E138" t="s">
        <v>27</v>
      </c>
      <c r="F138" t="s">
        <v>67</v>
      </c>
      <c r="G138" t="s">
        <v>68</v>
      </c>
      <c r="H138">
        <v>2400</v>
      </c>
      <c r="I138">
        <v>109.243697478992</v>
      </c>
      <c r="J138">
        <v>262184.873949581</v>
      </c>
      <c r="K138">
        <v>312000</v>
      </c>
    </row>
    <row r="139" spans="1:11" x14ac:dyDescent="0.25">
      <c r="A139" s="1">
        <v>45670</v>
      </c>
      <c r="B139" t="s">
        <v>106</v>
      </c>
      <c r="C139" t="s">
        <v>105</v>
      </c>
      <c r="D139" t="s">
        <v>106</v>
      </c>
      <c r="E139" t="s">
        <v>77</v>
      </c>
      <c r="F139" t="s">
        <v>78</v>
      </c>
      <c r="G139" t="s">
        <v>79</v>
      </c>
      <c r="H139">
        <v>10000</v>
      </c>
      <c r="I139">
        <v>240.48</v>
      </c>
      <c r="J139">
        <v>2404800</v>
      </c>
      <c r="K139">
        <v>2861712</v>
      </c>
    </row>
    <row r="140" spans="1:11" x14ac:dyDescent="0.25">
      <c r="A140" s="1">
        <v>45670</v>
      </c>
      <c r="B140" t="s">
        <v>106</v>
      </c>
      <c r="C140" t="s">
        <v>105</v>
      </c>
      <c r="D140" t="s">
        <v>106</v>
      </c>
      <c r="E140" t="s">
        <v>77</v>
      </c>
      <c r="F140" t="s">
        <v>78</v>
      </c>
      <c r="G140" t="s">
        <v>79</v>
      </c>
      <c r="H140">
        <v>10000</v>
      </c>
      <c r="I140">
        <v>240.48</v>
      </c>
      <c r="J140">
        <v>2404800</v>
      </c>
      <c r="K140">
        <v>2861712</v>
      </c>
    </row>
    <row r="141" spans="1:11" x14ac:dyDescent="0.25">
      <c r="A141" s="1">
        <v>45670</v>
      </c>
      <c r="B141" t="s">
        <v>106</v>
      </c>
      <c r="C141" t="s">
        <v>107</v>
      </c>
      <c r="D141" t="s">
        <v>76</v>
      </c>
      <c r="E141" t="s">
        <v>77</v>
      </c>
      <c r="F141" t="s">
        <v>78</v>
      </c>
      <c r="G141" t="s">
        <v>79</v>
      </c>
      <c r="H141">
        <v>10000</v>
      </c>
      <c r="I141">
        <v>240.48</v>
      </c>
      <c r="J141">
        <v>2404800</v>
      </c>
      <c r="K141">
        <v>2861712</v>
      </c>
    </row>
    <row r="142" spans="1:11" x14ac:dyDescent="0.25">
      <c r="A142" s="1">
        <v>45670</v>
      </c>
      <c r="B142" t="s">
        <v>106</v>
      </c>
      <c r="C142" t="s">
        <v>107</v>
      </c>
      <c r="D142" t="s">
        <v>76</v>
      </c>
      <c r="E142" t="s">
        <v>77</v>
      </c>
      <c r="F142" t="s">
        <v>78</v>
      </c>
      <c r="G142" t="s">
        <v>79</v>
      </c>
      <c r="H142">
        <v>10000</v>
      </c>
      <c r="I142">
        <v>240.48</v>
      </c>
      <c r="J142">
        <v>2404800</v>
      </c>
      <c r="K142">
        <v>2861712</v>
      </c>
    </row>
    <row r="143" spans="1:11" x14ac:dyDescent="0.25">
      <c r="A143" s="1">
        <v>45670</v>
      </c>
      <c r="B143" t="s">
        <v>106</v>
      </c>
      <c r="C143" t="s">
        <v>75</v>
      </c>
      <c r="D143" t="s">
        <v>76</v>
      </c>
      <c r="E143" t="s">
        <v>77</v>
      </c>
      <c r="F143" t="s">
        <v>78</v>
      </c>
      <c r="G143" t="s">
        <v>79</v>
      </c>
      <c r="H143">
        <v>15000</v>
      </c>
      <c r="I143">
        <v>240.48</v>
      </c>
      <c r="J143">
        <v>3607200</v>
      </c>
      <c r="K143">
        <v>4292568</v>
      </c>
    </row>
    <row r="144" spans="1:11" x14ac:dyDescent="0.25">
      <c r="A144" s="1">
        <v>45670</v>
      </c>
      <c r="B144" t="s">
        <v>106</v>
      </c>
      <c r="C144" t="s">
        <v>75</v>
      </c>
      <c r="D144" t="s">
        <v>76</v>
      </c>
      <c r="E144" t="s">
        <v>77</v>
      </c>
      <c r="F144" t="s">
        <v>78</v>
      </c>
      <c r="G144" t="s">
        <v>79</v>
      </c>
      <c r="H144">
        <v>5000</v>
      </c>
      <c r="I144">
        <v>240.48</v>
      </c>
      <c r="J144">
        <v>1202400</v>
      </c>
      <c r="K144">
        <v>1430856</v>
      </c>
    </row>
    <row r="145" spans="1:11" x14ac:dyDescent="0.25">
      <c r="A145" s="1">
        <v>45670</v>
      </c>
      <c r="B145" t="s">
        <v>145</v>
      </c>
      <c r="C145" t="s">
        <v>32</v>
      </c>
      <c r="D145" t="s">
        <v>32</v>
      </c>
      <c r="E145" t="s">
        <v>27</v>
      </c>
      <c r="F145" t="s">
        <v>18</v>
      </c>
      <c r="G145" t="s">
        <v>19</v>
      </c>
      <c r="H145">
        <v>48000</v>
      </c>
      <c r="I145">
        <v>126.05042016806701</v>
      </c>
      <c r="J145">
        <v>6050420.1680672197</v>
      </c>
      <c r="K145">
        <v>7200000</v>
      </c>
    </row>
    <row r="146" spans="1:11" x14ac:dyDescent="0.25">
      <c r="A146" s="1">
        <v>45670</v>
      </c>
      <c r="B146" t="s">
        <v>146</v>
      </c>
      <c r="C146" t="s">
        <v>32</v>
      </c>
      <c r="D146" t="s">
        <v>32</v>
      </c>
      <c r="E146" t="s">
        <v>27</v>
      </c>
      <c r="F146" t="s">
        <v>22</v>
      </c>
      <c r="G146" t="s">
        <v>23</v>
      </c>
      <c r="H146">
        <v>16</v>
      </c>
      <c r="I146">
        <v>0</v>
      </c>
      <c r="J146">
        <v>0</v>
      </c>
      <c r="K146">
        <v>0</v>
      </c>
    </row>
    <row r="147" spans="1:11" x14ac:dyDescent="0.25">
      <c r="A147" s="1">
        <v>45670</v>
      </c>
      <c r="B147" t="s">
        <v>145</v>
      </c>
      <c r="C147" t="s">
        <v>47</v>
      </c>
      <c r="D147" t="s">
        <v>48</v>
      </c>
      <c r="E147" t="s">
        <v>27</v>
      </c>
      <c r="F147" t="s">
        <v>18</v>
      </c>
      <c r="G147" t="s">
        <v>19</v>
      </c>
      <c r="H147">
        <v>52800</v>
      </c>
      <c r="I147">
        <v>126.05042016806701</v>
      </c>
      <c r="J147">
        <v>6655462.1848739404</v>
      </c>
      <c r="K147">
        <v>7920000</v>
      </c>
    </row>
    <row r="148" spans="1:11" x14ac:dyDescent="0.25">
      <c r="A148" s="1">
        <v>45670</v>
      </c>
      <c r="B148" t="s">
        <v>146</v>
      </c>
      <c r="C148" t="s">
        <v>47</v>
      </c>
      <c r="D148" t="s">
        <v>48</v>
      </c>
      <c r="E148" t="s">
        <v>27</v>
      </c>
      <c r="F148" t="s">
        <v>22</v>
      </c>
      <c r="G148" t="s">
        <v>23</v>
      </c>
      <c r="H148">
        <v>18</v>
      </c>
      <c r="I148">
        <v>0</v>
      </c>
      <c r="J148">
        <v>0</v>
      </c>
      <c r="K148">
        <v>0</v>
      </c>
    </row>
    <row r="149" spans="1:11" x14ac:dyDescent="0.25">
      <c r="A149" s="1">
        <v>45670</v>
      </c>
      <c r="B149" t="s">
        <v>106</v>
      </c>
      <c r="C149" t="s">
        <v>108</v>
      </c>
      <c r="D149" t="s">
        <v>106</v>
      </c>
      <c r="E149" t="s">
        <v>77</v>
      </c>
      <c r="F149" t="s">
        <v>78</v>
      </c>
      <c r="G149" t="s">
        <v>79</v>
      </c>
      <c r="H149">
        <v>20000</v>
      </c>
      <c r="I149">
        <v>240.48</v>
      </c>
      <c r="J149">
        <v>4809600</v>
      </c>
      <c r="K149">
        <v>5723424</v>
      </c>
    </row>
    <row r="150" spans="1:11" x14ac:dyDescent="0.25">
      <c r="A150" s="1">
        <v>45670</v>
      </c>
      <c r="B150" t="s">
        <v>145</v>
      </c>
      <c r="C150" t="s">
        <v>33</v>
      </c>
      <c r="D150" t="s">
        <v>34</v>
      </c>
      <c r="E150" t="s">
        <v>27</v>
      </c>
      <c r="F150" t="s">
        <v>20</v>
      </c>
      <c r="G150" t="s">
        <v>21</v>
      </c>
      <c r="H150">
        <v>24000</v>
      </c>
      <c r="I150">
        <v>231.09243697478999</v>
      </c>
      <c r="J150">
        <v>5546218.4873949597</v>
      </c>
      <c r="K150">
        <v>6600000</v>
      </c>
    </row>
    <row r="151" spans="1:11" x14ac:dyDescent="0.25">
      <c r="A151" s="1">
        <v>45670</v>
      </c>
      <c r="B151" t="s">
        <v>145</v>
      </c>
      <c r="C151" t="s">
        <v>33</v>
      </c>
      <c r="D151" t="s">
        <v>34</v>
      </c>
      <c r="E151" t="s">
        <v>27</v>
      </c>
      <c r="F151" t="s">
        <v>20</v>
      </c>
      <c r="G151" t="s">
        <v>21</v>
      </c>
      <c r="H151">
        <v>24000</v>
      </c>
      <c r="I151">
        <v>231.09243697478999</v>
      </c>
      <c r="J151">
        <v>5546218.4873949597</v>
      </c>
      <c r="K151">
        <v>6600000</v>
      </c>
    </row>
    <row r="152" spans="1:11" x14ac:dyDescent="0.25">
      <c r="A152" s="1">
        <v>45670</v>
      </c>
      <c r="B152" t="s">
        <v>146</v>
      </c>
      <c r="C152" t="s">
        <v>33</v>
      </c>
      <c r="D152" t="s">
        <v>34</v>
      </c>
      <c r="E152" t="s">
        <v>27</v>
      </c>
      <c r="F152" t="s">
        <v>22</v>
      </c>
      <c r="G152" t="s">
        <v>23</v>
      </c>
      <c r="H152">
        <v>18</v>
      </c>
      <c r="I152">
        <v>0</v>
      </c>
      <c r="J152">
        <v>0</v>
      </c>
      <c r="K152">
        <v>0</v>
      </c>
    </row>
    <row r="153" spans="1:11" x14ac:dyDescent="0.25">
      <c r="A153" s="1">
        <v>45670</v>
      </c>
      <c r="B153" t="s">
        <v>146</v>
      </c>
      <c r="C153" t="s">
        <v>33</v>
      </c>
      <c r="D153" t="s">
        <v>34</v>
      </c>
      <c r="E153" t="s">
        <v>27</v>
      </c>
      <c r="F153" t="s">
        <v>22</v>
      </c>
      <c r="G153" t="s">
        <v>23</v>
      </c>
      <c r="H153">
        <v>18</v>
      </c>
      <c r="I153">
        <v>0</v>
      </c>
      <c r="J153">
        <v>0</v>
      </c>
      <c r="K153">
        <v>0</v>
      </c>
    </row>
    <row r="154" spans="1:11" x14ac:dyDescent="0.25">
      <c r="A154" s="1">
        <v>45670</v>
      </c>
      <c r="B154" t="s">
        <v>145</v>
      </c>
      <c r="C154" t="s">
        <v>103</v>
      </c>
      <c r="D154" t="s">
        <v>104</v>
      </c>
      <c r="E154" t="s">
        <v>27</v>
      </c>
      <c r="F154" t="s">
        <v>16</v>
      </c>
      <c r="G154" t="s">
        <v>17</v>
      </c>
      <c r="H154">
        <v>1200</v>
      </c>
      <c r="I154">
        <v>198.31932773109199</v>
      </c>
      <c r="J154">
        <v>237983.19327731</v>
      </c>
      <c r="K154">
        <v>283200</v>
      </c>
    </row>
    <row r="155" spans="1:11" x14ac:dyDescent="0.25">
      <c r="A155" s="1">
        <v>45670</v>
      </c>
      <c r="B155" t="s">
        <v>145</v>
      </c>
      <c r="C155" t="s">
        <v>103</v>
      </c>
      <c r="D155" t="s">
        <v>104</v>
      </c>
      <c r="E155" t="s">
        <v>27</v>
      </c>
      <c r="F155" t="s">
        <v>18</v>
      </c>
      <c r="G155" t="s">
        <v>19</v>
      </c>
      <c r="H155">
        <v>4800</v>
      </c>
      <c r="I155">
        <v>126.05042016806701</v>
      </c>
      <c r="J155">
        <v>605042.01680672204</v>
      </c>
      <c r="K155">
        <v>720000</v>
      </c>
    </row>
    <row r="156" spans="1:11" x14ac:dyDescent="0.25">
      <c r="A156" s="1">
        <v>45670</v>
      </c>
      <c r="B156" t="s">
        <v>145</v>
      </c>
      <c r="C156" t="s">
        <v>103</v>
      </c>
      <c r="D156" t="s">
        <v>104</v>
      </c>
      <c r="E156" t="s">
        <v>27</v>
      </c>
      <c r="F156" t="s">
        <v>20</v>
      </c>
      <c r="G156" t="s">
        <v>21</v>
      </c>
      <c r="H156">
        <v>18000</v>
      </c>
      <c r="I156">
        <v>231.09243697478999</v>
      </c>
      <c r="J156">
        <v>4159663.86554622</v>
      </c>
      <c r="K156">
        <v>4950000</v>
      </c>
    </row>
    <row r="157" spans="1:11" x14ac:dyDescent="0.25">
      <c r="A157" s="1">
        <v>45670</v>
      </c>
      <c r="B157" t="s">
        <v>145</v>
      </c>
      <c r="C157" t="s">
        <v>103</v>
      </c>
      <c r="D157" t="s">
        <v>104</v>
      </c>
      <c r="E157" t="s">
        <v>27</v>
      </c>
      <c r="F157" t="s">
        <v>45</v>
      </c>
      <c r="G157" t="s">
        <v>46</v>
      </c>
      <c r="H157">
        <v>2400</v>
      </c>
      <c r="I157">
        <v>117.64705882352899</v>
      </c>
      <c r="J157">
        <v>282352.94117647002</v>
      </c>
      <c r="K157">
        <v>336000</v>
      </c>
    </row>
    <row r="158" spans="1:11" x14ac:dyDescent="0.25">
      <c r="A158" s="1">
        <v>45670</v>
      </c>
      <c r="B158" t="s">
        <v>146</v>
      </c>
      <c r="C158" t="s">
        <v>103</v>
      </c>
      <c r="D158" t="s">
        <v>104</v>
      </c>
      <c r="E158" t="s">
        <v>27</v>
      </c>
      <c r="F158" t="s">
        <v>22</v>
      </c>
      <c r="G158" t="s">
        <v>23</v>
      </c>
      <c r="H158">
        <v>18</v>
      </c>
      <c r="I158">
        <v>0</v>
      </c>
      <c r="J158">
        <v>0</v>
      </c>
      <c r="K158">
        <v>0</v>
      </c>
    </row>
    <row r="159" spans="1:11" x14ac:dyDescent="0.25">
      <c r="A159" s="1">
        <v>45670</v>
      </c>
      <c r="B159" t="s">
        <v>146</v>
      </c>
      <c r="C159" t="s">
        <v>103</v>
      </c>
      <c r="D159" t="s">
        <v>104</v>
      </c>
      <c r="E159" t="s">
        <v>27</v>
      </c>
      <c r="F159" t="s">
        <v>67</v>
      </c>
      <c r="G159" t="s">
        <v>68</v>
      </c>
      <c r="H159">
        <v>2400</v>
      </c>
      <c r="I159">
        <v>109.243697478992</v>
      </c>
      <c r="J159">
        <v>262184.873949581</v>
      </c>
      <c r="K159">
        <v>312000</v>
      </c>
    </row>
    <row r="160" spans="1:11" x14ac:dyDescent="0.25">
      <c r="A160" s="1">
        <v>45671</v>
      </c>
      <c r="B160" t="s">
        <v>146</v>
      </c>
      <c r="C160" t="s">
        <v>109</v>
      </c>
      <c r="D160" t="s">
        <v>109</v>
      </c>
      <c r="E160" t="s">
        <v>80</v>
      </c>
      <c r="F160" t="s">
        <v>81</v>
      </c>
      <c r="G160" t="s">
        <v>82</v>
      </c>
      <c r="H160">
        <v>16</v>
      </c>
      <c r="I160">
        <v>2500</v>
      </c>
      <c r="J160">
        <v>40000</v>
      </c>
      <c r="K160">
        <v>40000</v>
      </c>
    </row>
    <row r="161" spans="1:11" x14ac:dyDescent="0.25">
      <c r="A161" s="1">
        <v>45671</v>
      </c>
      <c r="B161" t="s">
        <v>146</v>
      </c>
      <c r="C161" t="s">
        <v>109</v>
      </c>
      <c r="D161" t="s">
        <v>109</v>
      </c>
      <c r="E161" t="s">
        <v>80</v>
      </c>
      <c r="F161" t="s">
        <v>110</v>
      </c>
      <c r="G161" t="s">
        <v>111</v>
      </c>
      <c r="H161">
        <v>3808</v>
      </c>
      <c r="I161">
        <v>258</v>
      </c>
      <c r="J161">
        <v>982464</v>
      </c>
      <c r="K161">
        <v>1169132.1599999999</v>
      </c>
    </row>
    <row r="162" spans="1:11" x14ac:dyDescent="0.25">
      <c r="A162" s="1">
        <v>45671</v>
      </c>
      <c r="B162" t="s">
        <v>145</v>
      </c>
      <c r="C162" t="s">
        <v>112</v>
      </c>
      <c r="D162" t="s">
        <v>112</v>
      </c>
      <c r="E162" t="s">
        <v>27</v>
      </c>
      <c r="F162" t="s">
        <v>16</v>
      </c>
      <c r="G162" t="s">
        <v>17</v>
      </c>
      <c r="H162">
        <v>2400</v>
      </c>
      <c r="I162">
        <v>198.31932773109199</v>
      </c>
      <c r="J162">
        <v>475966.38655462099</v>
      </c>
      <c r="K162">
        <v>566400</v>
      </c>
    </row>
    <row r="163" spans="1:11" x14ac:dyDescent="0.25">
      <c r="A163" s="1">
        <v>45671</v>
      </c>
      <c r="B163" t="s">
        <v>145</v>
      </c>
      <c r="C163" t="s">
        <v>112</v>
      </c>
      <c r="D163" t="s">
        <v>112</v>
      </c>
      <c r="E163" t="s">
        <v>27</v>
      </c>
      <c r="F163" t="s">
        <v>20</v>
      </c>
      <c r="G163" t="s">
        <v>21</v>
      </c>
      <c r="H163">
        <v>19200</v>
      </c>
      <c r="I163">
        <v>231.09243697478999</v>
      </c>
      <c r="J163">
        <v>4436974.7899159696</v>
      </c>
      <c r="K163">
        <v>5280000</v>
      </c>
    </row>
    <row r="164" spans="1:11" x14ac:dyDescent="0.25">
      <c r="A164" s="1">
        <v>45671</v>
      </c>
      <c r="B164" t="s">
        <v>145</v>
      </c>
      <c r="C164" t="s">
        <v>112</v>
      </c>
      <c r="D164" t="s">
        <v>112</v>
      </c>
      <c r="E164" t="s">
        <v>27</v>
      </c>
      <c r="F164" t="s">
        <v>43</v>
      </c>
      <c r="G164" t="s">
        <v>44</v>
      </c>
      <c r="H164">
        <v>2400</v>
      </c>
      <c r="I164">
        <v>214.28571428571399</v>
      </c>
      <c r="J164">
        <v>514285.71428571403</v>
      </c>
      <c r="K164">
        <v>611999.99999998999</v>
      </c>
    </row>
    <row r="165" spans="1:11" x14ac:dyDescent="0.25">
      <c r="A165" s="1">
        <v>45671</v>
      </c>
      <c r="B165" t="s">
        <v>146</v>
      </c>
      <c r="C165" t="s">
        <v>112</v>
      </c>
      <c r="D165" t="s">
        <v>112</v>
      </c>
      <c r="E165" t="s">
        <v>27</v>
      </c>
      <c r="F165" t="s">
        <v>22</v>
      </c>
      <c r="G165" t="s">
        <v>23</v>
      </c>
      <c r="H165">
        <v>18</v>
      </c>
      <c r="I165">
        <v>0</v>
      </c>
      <c r="J165">
        <v>0</v>
      </c>
      <c r="K165">
        <v>0</v>
      </c>
    </row>
    <row r="166" spans="1:11" x14ac:dyDescent="0.25">
      <c r="A166" s="1">
        <v>45671</v>
      </c>
      <c r="B166" t="s">
        <v>106</v>
      </c>
      <c r="C166" t="s">
        <v>113</v>
      </c>
      <c r="D166" t="s">
        <v>90</v>
      </c>
      <c r="E166" t="s">
        <v>91</v>
      </c>
      <c r="F166" t="s">
        <v>78</v>
      </c>
      <c r="G166" t="s">
        <v>79</v>
      </c>
      <c r="H166">
        <v>20000</v>
      </c>
      <c r="I166">
        <v>240.48</v>
      </c>
      <c r="J166">
        <v>4809600</v>
      </c>
      <c r="K166">
        <v>5723424</v>
      </c>
    </row>
    <row r="167" spans="1:11" x14ac:dyDescent="0.25">
      <c r="A167" s="1">
        <v>45671</v>
      </c>
      <c r="B167" t="s">
        <v>145</v>
      </c>
      <c r="C167" t="s">
        <v>37</v>
      </c>
      <c r="D167" t="s">
        <v>38</v>
      </c>
      <c r="E167" t="s">
        <v>27</v>
      </c>
      <c r="F167" t="s">
        <v>18</v>
      </c>
      <c r="G167" t="s">
        <v>19</v>
      </c>
      <c r="H167">
        <v>24000</v>
      </c>
      <c r="I167">
        <v>126.05042016806701</v>
      </c>
      <c r="J167">
        <v>3025210.0840336098</v>
      </c>
      <c r="K167">
        <v>3600000</v>
      </c>
    </row>
    <row r="168" spans="1:11" x14ac:dyDescent="0.25">
      <c r="A168" s="1">
        <v>45671</v>
      </c>
      <c r="B168" t="s">
        <v>145</v>
      </c>
      <c r="C168" t="s">
        <v>37</v>
      </c>
      <c r="D168" t="s">
        <v>38</v>
      </c>
      <c r="E168" t="s">
        <v>27</v>
      </c>
      <c r="F168" t="s">
        <v>18</v>
      </c>
      <c r="G168" t="s">
        <v>19</v>
      </c>
      <c r="H168">
        <v>24000</v>
      </c>
      <c r="I168">
        <v>126.05042016806701</v>
      </c>
      <c r="J168">
        <v>3025210.0840336098</v>
      </c>
      <c r="K168">
        <v>3600000</v>
      </c>
    </row>
    <row r="169" spans="1:11" x14ac:dyDescent="0.25">
      <c r="A169" s="1">
        <v>45671</v>
      </c>
      <c r="B169" t="s">
        <v>146</v>
      </c>
      <c r="C169" t="s">
        <v>37</v>
      </c>
      <c r="D169" t="s">
        <v>38</v>
      </c>
      <c r="E169" t="s">
        <v>27</v>
      </c>
      <c r="F169" t="s">
        <v>22</v>
      </c>
      <c r="G169" t="s">
        <v>23</v>
      </c>
      <c r="H169">
        <v>8</v>
      </c>
      <c r="I169">
        <v>0</v>
      </c>
      <c r="J169">
        <v>0</v>
      </c>
      <c r="K169">
        <v>0</v>
      </c>
    </row>
    <row r="170" spans="1:11" x14ac:dyDescent="0.25">
      <c r="A170" s="1">
        <v>45671</v>
      </c>
      <c r="B170" t="s">
        <v>146</v>
      </c>
      <c r="C170" t="s">
        <v>37</v>
      </c>
      <c r="D170" t="s">
        <v>38</v>
      </c>
      <c r="E170" t="s">
        <v>27</v>
      </c>
      <c r="F170" t="s">
        <v>22</v>
      </c>
      <c r="G170" t="s">
        <v>23</v>
      </c>
      <c r="H170">
        <v>8</v>
      </c>
      <c r="I170">
        <v>0</v>
      </c>
      <c r="J170">
        <v>0</v>
      </c>
      <c r="K170">
        <v>0</v>
      </c>
    </row>
    <row r="171" spans="1:11" x14ac:dyDescent="0.25">
      <c r="A171" s="1">
        <v>45671</v>
      </c>
      <c r="B171" t="s">
        <v>145</v>
      </c>
      <c r="C171" t="s">
        <v>114</v>
      </c>
      <c r="D171" t="s">
        <v>115</v>
      </c>
      <c r="E171" t="s">
        <v>27</v>
      </c>
      <c r="F171" t="s">
        <v>18</v>
      </c>
      <c r="G171" t="s">
        <v>19</v>
      </c>
      <c r="H171">
        <v>38400</v>
      </c>
      <c r="I171">
        <v>126.05042016806701</v>
      </c>
      <c r="J171">
        <v>4840336.1344537698</v>
      </c>
      <c r="K171">
        <v>5760000</v>
      </c>
    </row>
    <row r="172" spans="1:11" x14ac:dyDescent="0.25">
      <c r="A172" s="1">
        <v>45671</v>
      </c>
      <c r="B172" t="s">
        <v>145</v>
      </c>
      <c r="C172" t="s">
        <v>114</v>
      </c>
      <c r="D172" t="s">
        <v>115</v>
      </c>
      <c r="E172" t="s">
        <v>27</v>
      </c>
      <c r="F172" t="s">
        <v>20</v>
      </c>
      <c r="G172" t="s">
        <v>21</v>
      </c>
      <c r="H172">
        <v>1200</v>
      </c>
      <c r="I172">
        <v>231.09243697478999</v>
      </c>
      <c r="J172">
        <v>277310.92436974798</v>
      </c>
      <c r="K172">
        <v>330000</v>
      </c>
    </row>
    <row r="173" spans="1:11" x14ac:dyDescent="0.25">
      <c r="A173" s="1">
        <v>45671</v>
      </c>
      <c r="B173" t="s">
        <v>145</v>
      </c>
      <c r="C173" t="s">
        <v>114</v>
      </c>
      <c r="D173" t="s">
        <v>115</v>
      </c>
      <c r="E173" t="s">
        <v>27</v>
      </c>
      <c r="F173" t="s">
        <v>43</v>
      </c>
      <c r="G173" t="s">
        <v>44</v>
      </c>
      <c r="H173">
        <v>1200</v>
      </c>
      <c r="I173">
        <v>214.28571428571399</v>
      </c>
      <c r="J173">
        <v>257142.85714285701</v>
      </c>
      <c r="K173">
        <v>306000</v>
      </c>
    </row>
    <row r="174" spans="1:11" x14ac:dyDescent="0.25">
      <c r="A174" s="1">
        <v>45671</v>
      </c>
      <c r="B174" t="s">
        <v>146</v>
      </c>
      <c r="C174" t="s">
        <v>114</v>
      </c>
      <c r="D174" t="s">
        <v>115</v>
      </c>
      <c r="E174" t="s">
        <v>27</v>
      </c>
      <c r="F174" t="s">
        <v>22</v>
      </c>
      <c r="G174" t="s">
        <v>23</v>
      </c>
      <c r="H174">
        <v>18</v>
      </c>
      <c r="I174">
        <v>0</v>
      </c>
      <c r="J174">
        <v>0</v>
      </c>
      <c r="K174">
        <v>0</v>
      </c>
    </row>
    <row r="175" spans="1:11" x14ac:dyDescent="0.25">
      <c r="A175" s="1">
        <v>45671</v>
      </c>
      <c r="B175" t="s">
        <v>146</v>
      </c>
      <c r="C175" t="s">
        <v>114</v>
      </c>
      <c r="D175" t="s">
        <v>115</v>
      </c>
      <c r="E175" t="s">
        <v>27</v>
      </c>
      <c r="F175" t="s">
        <v>58</v>
      </c>
      <c r="G175" t="s">
        <v>59</v>
      </c>
      <c r="H175">
        <v>2400</v>
      </c>
      <c r="I175">
        <v>120.168067226891</v>
      </c>
      <c r="J175">
        <v>288403.36134453799</v>
      </c>
      <c r="K175">
        <v>343200</v>
      </c>
    </row>
    <row r="176" spans="1:11" x14ac:dyDescent="0.25">
      <c r="A176" s="1">
        <v>45671</v>
      </c>
      <c r="B176" t="s">
        <v>145</v>
      </c>
      <c r="C176" t="s">
        <v>114</v>
      </c>
      <c r="D176" t="s">
        <v>115</v>
      </c>
      <c r="E176" t="s">
        <v>27</v>
      </c>
      <c r="F176" t="s">
        <v>24</v>
      </c>
      <c r="G176" t="s">
        <v>25</v>
      </c>
      <c r="H176">
        <v>2400</v>
      </c>
      <c r="I176">
        <v>89.915966386554601</v>
      </c>
      <c r="J176">
        <v>215798.31932773101</v>
      </c>
      <c r="K176">
        <v>256800</v>
      </c>
    </row>
    <row r="177" spans="1:11" x14ac:dyDescent="0.25">
      <c r="A177" s="1">
        <v>45671</v>
      </c>
      <c r="B177" t="s">
        <v>145</v>
      </c>
      <c r="C177" t="s">
        <v>60</v>
      </c>
      <c r="D177" t="s">
        <v>61</v>
      </c>
      <c r="E177" t="s">
        <v>27</v>
      </c>
      <c r="F177" t="s">
        <v>16</v>
      </c>
      <c r="G177" t="s">
        <v>17</v>
      </c>
      <c r="H177">
        <v>2400</v>
      </c>
      <c r="I177">
        <v>198.31932773109199</v>
      </c>
      <c r="J177">
        <v>475966.38655462099</v>
      </c>
      <c r="K177">
        <v>566400</v>
      </c>
    </row>
    <row r="178" spans="1:11" x14ac:dyDescent="0.25">
      <c r="A178" s="1">
        <v>45671</v>
      </c>
      <c r="B178" t="s">
        <v>145</v>
      </c>
      <c r="C178" t="s">
        <v>60</v>
      </c>
      <c r="D178" t="s">
        <v>61</v>
      </c>
      <c r="E178" t="s">
        <v>27</v>
      </c>
      <c r="F178" t="s">
        <v>20</v>
      </c>
      <c r="G178" t="s">
        <v>21</v>
      </c>
      <c r="H178">
        <v>21600</v>
      </c>
      <c r="I178">
        <v>231.09243697478999</v>
      </c>
      <c r="J178">
        <v>4991596.6386554604</v>
      </c>
      <c r="K178">
        <v>5940000</v>
      </c>
    </row>
    <row r="179" spans="1:11" x14ac:dyDescent="0.25">
      <c r="A179" s="1">
        <v>45671</v>
      </c>
      <c r="B179" t="s">
        <v>146</v>
      </c>
      <c r="C179" t="s">
        <v>60</v>
      </c>
      <c r="D179" t="s">
        <v>61</v>
      </c>
      <c r="E179" t="s">
        <v>27</v>
      </c>
      <c r="F179" t="s">
        <v>22</v>
      </c>
      <c r="G179" t="s">
        <v>23</v>
      </c>
      <c r="H179">
        <v>16</v>
      </c>
      <c r="I179">
        <v>0</v>
      </c>
      <c r="J179">
        <v>0</v>
      </c>
      <c r="K179">
        <v>0</v>
      </c>
    </row>
    <row r="180" spans="1:11" x14ac:dyDescent="0.25">
      <c r="A180" s="1">
        <v>45671</v>
      </c>
      <c r="B180" t="s">
        <v>145</v>
      </c>
      <c r="C180" t="s">
        <v>116</v>
      </c>
      <c r="D180" t="s">
        <v>117</v>
      </c>
      <c r="E180" t="s">
        <v>27</v>
      </c>
      <c r="F180" t="s">
        <v>18</v>
      </c>
      <c r="G180" t="s">
        <v>19</v>
      </c>
      <c r="H180">
        <v>28800</v>
      </c>
      <c r="I180">
        <v>126.05042016806701</v>
      </c>
      <c r="J180">
        <v>3630252.1008403301</v>
      </c>
      <c r="K180">
        <v>4320000</v>
      </c>
    </row>
    <row r="181" spans="1:11" x14ac:dyDescent="0.25">
      <c r="A181" s="1">
        <v>45671</v>
      </c>
      <c r="B181" t="s">
        <v>145</v>
      </c>
      <c r="C181" t="s">
        <v>116</v>
      </c>
      <c r="D181" t="s">
        <v>117</v>
      </c>
      <c r="E181" t="s">
        <v>27</v>
      </c>
      <c r="F181" t="s">
        <v>20</v>
      </c>
      <c r="G181" t="s">
        <v>21</v>
      </c>
      <c r="H181">
        <v>7200</v>
      </c>
      <c r="I181">
        <v>231.09243697478999</v>
      </c>
      <c r="J181">
        <v>1663865.54621849</v>
      </c>
      <c r="K181">
        <v>1980000</v>
      </c>
    </row>
    <row r="182" spans="1:11" x14ac:dyDescent="0.25">
      <c r="A182" s="1">
        <v>45671</v>
      </c>
      <c r="B182" t="s">
        <v>145</v>
      </c>
      <c r="C182" t="s">
        <v>116</v>
      </c>
      <c r="D182" t="s">
        <v>117</v>
      </c>
      <c r="E182" t="s">
        <v>27</v>
      </c>
      <c r="F182" t="s">
        <v>43</v>
      </c>
      <c r="G182" t="s">
        <v>44</v>
      </c>
      <c r="H182">
        <v>2400</v>
      </c>
      <c r="I182">
        <v>214.28571428571399</v>
      </c>
      <c r="J182">
        <v>514285.71428571403</v>
      </c>
      <c r="K182">
        <v>611999.99999998999</v>
      </c>
    </row>
    <row r="183" spans="1:11" x14ac:dyDescent="0.25">
      <c r="A183" s="1">
        <v>45671</v>
      </c>
      <c r="B183" t="s">
        <v>146</v>
      </c>
      <c r="C183" t="s">
        <v>116</v>
      </c>
      <c r="D183" t="s">
        <v>117</v>
      </c>
      <c r="E183" t="s">
        <v>27</v>
      </c>
      <c r="F183" t="s">
        <v>22</v>
      </c>
      <c r="G183" t="s">
        <v>23</v>
      </c>
      <c r="H183">
        <v>18</v>
      </c>
      <c r="I183">
        <v>0</v>
      </c>
      <c r="J183">
        <v>0</v>
      </c>
      <c r="K183">
        <v>0</v>
      </c>
    </row>
    <row r="184" spans="1:11" x14ac:dyDescent="0.25">
      <c r="A184" s="1">
        <v>45671</v>
      </c>
      <c r="B184" t="s">
        <v>146</v>
      </c>
      <c r="C184" t="s">
        <v>118</v>
      </c>
      <c r="D184" t="s">
        <v>118</v>
      </c>
      <c r="E184" t="s">
        <v>80</v>
      </c>
      <c r="F184" t="s">
        <v>81</v>
      </c>
      <c r="G184" t="s">
        <v>82</v>
      </c>
      <c r="H184">
        <v>1</v>
      </c>
      <c r="I184">
        <v>2500</v>
      </c>
      <c r="J184">
        <v>2500</v>
      </c>
      <c r="K184">
        <v>2500</v>
      </c>
    </row>
    <row r="185" spans="1:11" x14ac:dyDescent="0.25">
      <c r="A185" s="1">
        <v>45671</v>
      </c>
      <c r="B185" t="s">
        <v>146</v>
      </c>
      <c r="C185" t="s">
        <v>118</v>
      </c>
      <c r="D185" t="s">
        <v>118</v>
      </c>
      <c r="E185" t="s">
        <v>80</v>
      </c>
      <c r="F185" t="s">
        <v>119</v>
      </c>
      <c r="G185" t="s">
        <v>120</v>
      </c>
      <c r="H185">
        <v>230</v>
      </c>
      <c r="I185">
        <v>217</v>
      </c>
      <c r="J185">
        <v>49910</v>
      </c>
      <c r="K185">
        <v>59392.9</v>
      </c>
    </row>
    <row r="186" spans="1:11" x14ac:dyDescent="0.25">
      <c r="A186" s="1">
        <v>45672</v>
      </c>
      <c r="B186" t="s">
        <v>106</v>
      </c>
      <c r="C186" t="s">
        <v>121</v>
      </c>
      <c r="D186" t="s">
        <v>90</v>
      </c>
      <c r="E186" t="s">
        <v>91</v>
      </c>
      <c r="F186" t="s">
        <v>78</v>
      </c>
      <c r="G186" t="s">
        <v>79</v>
      </c>
      <c r="H186">
        <v>20000</v>
      </c>
      <c r="I186">
        <v>240.48</v>
      </c>
      <c r="J186">
        <v>4809600</v>
      </c>
      <c r="K186">
        <v>5723424</v>
      </c>
    </row>
    <row r="187" spans="1:11" x14ac:dyDescent="0.25">
      <c r="A187" s="1">
        <v>45672</v>
      </c>
      <c r="B187" t="s">
        <v>146</v>
      </c>
      <c r="C187" t="s">
        <v>122</v>
      </c>
      <c r="D187" t="s">
        <v>123</v>
      </c>
      <c r="E187" t="s">
        <v>80</v>
      </c>
      <c r="F187" t="s">
        <v>81</v>
      </c>
      <c r="G187" t="s">
        <v>82</v>
      </c>
      <c r="H187">
        <v>80</v>
      </c>
      <c r="I187">
        <v>2500</v>
      </c>
      <c r="J187">
        <v>200000</v>
      </c>
      <c r="K187">
        <v>200000</v>
      </c>
    </row>
    <row r="188" spans="1:11" x14ac:dyDescent="0.25">
      <c r="A188" s="1">
        <v>45672</v>
      </c>
      <c r="B188" t="s">
        <v>146</v>
      </c>
      <c r="C188" t="s">
        <v>122</v>
      </c>
      <c r="D188" t="s">
        <v>123</v>
      </c>
      <c r="E188" t="s">
        <v>80</v>
      </c>
      <c r="F188" t="s">
        <v>124</v>
      </c>
      <c r="G188" t="s">
        <v>125</v>
      </c>
      <c r="H188">
        <v>16800</v>
      </c>
      <c r="I188">
        <v>88</v>
      </c>
      <c r="J188">
        <v>1478400</v>
      </c>
      <c r="K188">
        <v>1759296</v>
      </c>
    </row>
    <row r="189" spans="1:11" x14ac:dyDescent="0.25">
      <c r="A189" s="1">
        <v>45672</v>
      </c>
      <c r="B189" t="s">
        <v>106</v>
      </c>
      <c r="C189" t="s">
        <v>86</v>
      </c>
      <c r="D189" t="s">
        <v>87</v>
      </c>
      <c r="E189" t="s">
        <v>88</v>
      </c>
      <c r="F189" t="s">
        <v>78</v>
      </c>
      <c r="G189" t="s">
        <v>79</v>
      </c>
      <c r="H189">
        <v>20000</v>
      </c>
      <c r="I189">
        <v>240.48</v>
      </c>
      <c r="J189">
        <v>4809600</v>
      </c>
      <c r="K189">
        <v>5723424</v>
      </c>
    </row>
    <row r="190" spans="1:11" x14ac:dyDescent="0.25">
      <c r="A190" s="1">
        <v>45672</v>
      </c>
      <c r="B190" t="s">
        <v>106</v>
      </c>
      <c r="C190" t="s">
        <v>89</v>
      </c>
      <c r="D190" t="s">
        <v>90</v>
      </c>
      <c r="E190" t="s">
        <v>91</v>
      </c>
      <c r="F190" t="s">
        <v>78</v>
      </c>
      <c r="G190" t="s">
        <v>79</v>
      </c>
      <c r="H190">
        <v>20000</v>
      </c>
      <c r="I190">
        <v>240.48</v>
      </c>
      <c r="J190">
        <v>4809600</v>
      </c>
      <c r="K190">
        <v>5723424</v>
      </c>
    </row>
    <row r="191" spans="1:11" x14ac:dyDescent="0.25">
      <c r="A191" s="1">
        <v>45672</v>
      </c>
      <c r="B191" t="s">
        <v>106</v>
      </c>
      <c r="C191" t="s">
        <v>89</v>
      </c>
      <c r="D191" t="s">
        <v>90</v>
      </c>
      <c r="E191" t="s">
        <v>91</v>
      </c>
      <c r="F191" t="s">
        <v>78</v>
      </c>
      <c r="G191" t="s">
        <v>79</v>
      </c>
      <c r="H191">
        <v>25000</v>
      </c>
      <c r="I191">
        <v>240.48</v>
      </c>
      <c r="J191">
        <v>6012000</v>
      </c>
      <c r="K191">
        <v>7154280</v>
      </c>
    </row>
    <row r="192" spans="1:11" x14ac:dyDescent="0.25">
      <c r="A192" s="1">
        <v>45672</v>
      </c>
      <c r="B192" t="s">
        <v>106</v>
      </c>
      <c r="C192" t="s">
        <v>126</v>
      </c>
      <c r="D192" t="s">
        <v>127</v>
      </c>
      <c r="E192" t="s">
        <v>88</v>
      </c>
      <c r="F192" t="s">
        <v>78</v>
      </c>
      <c r="G192" t="s">
        <v>79</v>
      </c>
      <c r="H192">
        <v>20000</v>
      </c>
      <c r="I192">
        <v>240.48</v>
      </c>
      <c r="J192">
        <v>4809600</v>
      </c>
      <c r="K192">
        <v>5723424</v>
      </c>
    </row>
    <row r="193" spans="1:11" x14ac:dyDescent="0.25">
      <c r="A193" s="1">
        <v>45672</v>
      </c>
      <c r="B193" t="s">
        <v>145</v>
      </c>
      <c r="C193" t="s">
        <v>37</v>
      </c>
      <c r="D193" t="s">
        <v>38</v>
      </c>
      <c r="E193" t="s">
        <v>27</v>
      </c>
      <c r="F193" t="s">
        <v>20</v>
      </c>
      <c r="G193" t="s">
        <v>21</v>
      </c>
      <c r="H193">
        <v>12000</v>
      </c>
      <c r="I193">
        <v>231.09243697478999</v>
      </c>
      <c r="J193">
        <v>2773109.2436974798</v>
      </c>
      <c r="K193">
        <v>3300000</v>
      </c>
    </row>
    <row r="194" spans="1:11" x14ac:dyDescent="0.25">
      <c r="A194" s="1">
        <v>45672</v>
      </c>
      <c r="B194" t="s">
        <v>146</v>
      </c>
      <c r="C194" t="s">
        <v>37</v>
      </c>
      <c r="D194" t="s">
        <v>38</v>
      </c>
      <c r="E194" t="s">
        <v>27</v>
      </c>
      <c r="F194" t="s">
        <v>22</v>
      </c>
      <c r="G194" t="s">
        <v>23</v>
      </c>
      <c r="H194">
        <v>8</v>
      </c>
      <c r="I194">
        <v>0</v>
      </c>
      <c r="J194">
        <v>0</v>
      </c>
      <c r="K194">
        <v>0</v>
      </c>
    </row>
    <row r="195" spans="1:11" x14ac:dyDescent="0.25">
      <c r="A195" s="1">
        <v>45672</v>
      </c>
      <c r="B195" t="s">
        <v>145</v>
      </c>
      <c r="C195" t="s">
        <v>69</v>
      </c>
      <c r="D195" t="s">
        <v>26</v>
      </c>
      <c r="E195" t="s">
        <v>27</v>
      </c>
      <c r="F195" t="s">
        <v>20</v>
      </c>
      <c r="G195" t="s">
        <v>21</v>
      </c>
      <c r="H195">
        <v>12000</v>
      </c>
      <c r="I195">
        <v>231.09243697478999</v>
      </c>
      <c r="J195">
        <v>2773109.2436974798</v>
      </c>
      <c r="K195">
        <v>3300000</v>
      </c>
    </row>
    <row r="196" spans="1:11" x14ac:dyDescent="0.25">
      <c r="A196" s="1">
        <v>45672</v>
      </c>
      <c r="B196" t="s">
        <v>146</v>
      </c>
      <c r="C196" t="s">
        <v>69</v>
      </c>
      <c r="D196" t="s">
        <v>26</v>
      </c>
      <c r="E196" t="s">
        <v>27</v>
      </c>
      <c r="F196" t="s">
        <v>22</v>
      </c>
      <c r="G196" t="s">
        <v>23</v>
      </c>
      <c r="H196">
        <v>8</v>
      </c>
      <c r="I196">
        <v>0</v>
      </c>
      <c r="J196">
        <v>0</v>
      </c>
      <c r="K196">
        <v>0</v>
      </c>
    </row>
    <row r="197" spans="1:11" x14ac:dyDescent="0.25">
      <c r="A197" s="1">
        <v>45673</v>
      </c>
      <c r="B197" t="s">
        <v>106</v>
      </c>
      <c r="C197" t="s">
        <v>128</v>
      </c>
      <c r="D197" t="s">
        <v>129</v>
      </c>
      <c r="E197" t="s">
        <v>130</v>
      </c>
      <c r="F197" t="s">
        <v>78</v>
      </c>
      <c r="G197" t="s">
        <v>79</v>
      </c>
      <c r="H197">
        <v>20000</v>
      </c>
      <c r="I197">
        <v>240.48</v>
      </c>
      <c r="J197">
        <v>4809600</v>
      </c>
      <c r="K197">
        <v>5723424</v>
      </c>
    </row>
    <row r="198" spans="1:11" x14ac:dyDescent="0.25">
      <c r="A198" s="1">
        <v>45673</v>
      </c>
      <c r="B198" t="s">
        <v>145</v>
      </c>
      <c r="C198" t="s">
        <v>41</v>
      </c>
      <c r="D198" t="s">
        <v>42</v>
      </c>
      <c r="E198" t="s">
        <v>27</v>
      </c>
      <c r="F198" t="s">
        <v>12</v>
      </c>
      <c r="G198" t="s">
        <v>13</v>
      </c>
      <c r="H198">
        <v>300</v>
      </c>
      <c r="I198">
        <v>96.6386554621849</v>
      </c>
      <c r="J198">
        <v>0</v>
      </c>
      <c r="K198">
        <v>0</v>
      </c>
    </row>
    <row r="199" spans="1:11" x14ac:dyDescent="0.25">
      <c r="A199" s="1">
        <v>45673</v>
      </c>
      <c r="B199" t="s">
        <v>145</v>
      </c>
      <c r="C199" t="s">
        <v>41</v>
      </c>
      <c r="D199" t="s">
        <v>42</v>
      </c>
      <c r="E199" t="s">
        <v>27</v>
      </c>
      <c r="F199" t="s">
        <v>12</v>
      </c>
      <c r="G199" t="s">
        <v>13</v>
      </c>
      <c r="H199">
        <v>6900</v>
      </c>
      <c r="I199">
        <v>96.6386554621849</v>
      </c>
      <c r="J199">
        <v>666806.72268907598</v>
      </c>
      <c r="K199">
        <v>793500.00000001001</v>
      </c>
    </row>
    <row r="200" spans="1:11" x14ac:dyDescent="0.25">
      <c r="A200" s="1">
        <v>45673</v>
      </c>
      <c r="B200" t="s">
        <v>146</v>
      </c>
      <c r="C200" t="s">
        <v>41</v>
      </c>
      <c r="D200" t="s">
        <v>42</v>
      </c>
      <c r="E200" t="s">
        <v>27</v>
      </c>
      <c r="F200" t="s">
        <v>14</v>
      </c>
      <c r="G200" t="s">
        <v>15</v>
      </c>
      <c r="H200">
        <v>200</v>
      </c>
      <c r="I200">
        <v>178.99159663865501</v>
      </c>
      <c r="J200">
        <v>0</v>
      </c>
      <c r="K200">
        <v>0</v>
      </c>
    </row>
    <row r="201" spans="1:11" x14ac:dyDescent="0.25">
      <c r="A201" s="1">
        <v>45673</v>
      </c>
      <c r="B201" t="s">
        <v>146</v>
      </c>
      <c r="C201" t="s">
        <v>41</v>
      </c>
      <c r="D201" t="s">
        <v>42</v>
      </c>
      <c r="E201" t="s">
        <v>27</v>
      </c>
      <c r="F201" t="s">
        <v>14</v>
      </c>
      <c r="G201" t="s">
        <v>15</v>
      </c>
      <c r="H201">
        <v>4600</v>
      </c>
      <c r="I201">
        <v>178.99159663865501</v>
      </c>
      <c r="J201">
        <v>823361.34453781298</v>
      </c>
      <c r="K201">
        <v>979800.00000001001</v>
      </c>
    </row>
    <row r="202" spans="1:11" x14ac:dyDescent="0.25">
      <c r="A202" s="1">
        <v>45673</v>
      </c>
      <c r="B202" t="s">
        <v>145</v>
      </c>
      <c r="C202" t="s">
        <v>41</v>
      </c>
      <c r="D202" t="s">
        <v>42</v>
      </c>
      <c r="E202" t="s">
        <v>27</v>
      </c>
      <c r="F202" t="s">
        <v>16</v>
      </c>
      <c r="G202" t="s">
        <v>17</v>
      </c>
      <c r="H202">
        <v>2400</v>
      </c>
      <c r="I202">
        <v>198.31932773109199</v>
      </c>
      <c r="J202">
        <v>475966.38655462099</v>
      </c>
      <c r="K202">
        <v>566400</v>
      </c>
    </row>
    <row r="203" spans="1:11" x14ac:dyDescent="0.25">
      <c r="A203" s="1">
        <v>45673</v>
      </c>
      <c r="B203" t="s">
        <v>145</v>
      </c>
      <c r="C203" t="s">
        <v>41</v>
      </c>
      <c r="D203" t="s">
        <v>42</v>
      </c>
      <c r="E203" t="s">
        <v>27</v>
      </c>
      <c r="F203" t="s">
        <v>43</v>
      </c>
      <c r="G203" t="s">
        <v>44</v>
      </c>
      <c r="H203">
        <v>1200</v>
      </c>
      <c r="I203">
        <v>214.28571428571399</v>
      </c>
      <c r="J203">
        <v>257142.85714285701</v>
      </c>
      <c r="K203">
        <v>306000</v>
      </c>
    </row>
    <row r="204" spans="1:11" x14ac:dyDescent="0.25">
      <c r="A204" s="1">
        <v>45673</v>
      </c>
      <c r="B204" t="s">
        <v>146</v>
      </c>
      <c r="C204" t="s">
        <v>41</v>
      </c>
      <c r="D204" t="s">
        <v>42</v>
      </c>
      <c r="E204" t="s">
        <v>27</v>
      </c>
      <c r="F204" t="s">
        <v>22</v>
      </c>
      <c r="G204" t="s">
        <v>23</v>
      </c>
      <c r="H204">
        <v>8</v>
      </c>
      <c r="I204">
        <v>0</v>
      </c>
      <c r="J204">
        <v>0</v>
      </c>
      <c r="K204">
        <v>0</v>
      </c>
    </row>
    <row r="205" spans="1:11" x14ac:dyDescent="0.25">
      <c r="A205" s="1">
        <v>45673</v>
      </c>
      <c r="B205" t="s">
        <v>106</v>
      </c>
      <c r="C205" t="s">
        <v>92</v>
      </c>
      <c r="D205" t="s">
        <v>93</v>
      </c>
      <c r="E205" t="s">
        <v>94</v>
      </c>
      <c r="F205" t="s">
        <v>78</v>
      </c>
      <c r="G205" t="s">
        <v>79</v>
      </c>
      <c r="H205">
        <v>20000</v>
      </c>
      <c r="I205">
        <v>240.48</v>
      </c>
      <c r="J205">
        <v>4809600</v>
      </c>
      <c r="K205">
        <v>5723424</v>
      </c>
    </row>
    <row r="206" spans="1:11" x14ac:dyDescent="0.25">
      <c r="A206" s="1">
        <v>45673</v>
      </c>
      <c r="B206" t="s">
        <v>145</v>
      </c>
      <c r="C206" t="s">
        <v>52</v>
      </c>
      <c r="D206" t="s">
        <v>52</v>
      </c>
      <c r="E206" t="s">
        <v>27</v>
      </c>
      <c r="F206" t="s">
        <v>12</v>
      </c>
      <c r="G206" t="s">
        <v>13</v>
      </c>
      <c r="H206">
        <v>1500</v>
      </c>
      <c r="I206">
        <v>96.6386554621849</v>
      </c>
      <c r="J206">
        <v>0</v>
      </c>
      <c r="K206">
        <v>0</v>
      </c>
    </row>
    <row r="207" spans="1:11" x14ac:dyDescent="0.25">
      <c r="A207" s="1">
        <v>45673</v>
      </c>
      <c r="B207" t="s">
        <v>145</v>
      </c>
      <c r="C207" t="s">
        <v>52</v>
      </c>
      <c r="D207" t="s">
        <v>52</v>
      </c>
      <c r="E207" t="s">
        <v>27</v>
      </c>
      <c r="F207" t="s">
        <v>12</v>
      </c>
      <c r="G207" t="s">
        <v>13</v>
      </c>
      <c r="H207">
        <v>34500</v>
      </c>
      <c r="I207">
        <v>96.6386554621849</v>
      </c>
      <c r="J207">
        <v>3334033.6134453798</v>
      </c>
      <c r="K207">
        <v>3967500</v>
      </c>
    </row>
    <row r="208" spans="1:11" x14ac:dyDescent="0.25">
      <c r="A208" s="1">
        <v>45673</v>
      </c>
      <c r="B208" t="s">
        <v>145</v>
      </c>
      <c r="C208" t="s">
        <v>52</v>
      </c>
      <c r="D208" t="s">
        <v>52</v>
      </c>
      <c r="E208" t="s">
        <v>27</v>
      </c>
      <c r="F208" t="s">
        <v>12</v>
      </c>
      <c r="G208" t="s">
        <v>13</v>
      </c>
      <c r="H208">
        <v>1500</v>
      </c>
      <c r="I208">
        <v>96.6386554621849</v>
      </c>
      <c r="J208">
        <v>0</v>
      </c>
      <c r="K208">
        <v>0</v>
      </c>
    </row>
    <row r="209" spans="1:11" x14ac:dyDescent="0.25">
      <c r="A209" s="1">
        <v>45673</v>
      </c>
      <c r="B209" t="s">
        <v>145</v>
      </c>
      <c r="C209" t="s">
        <v>52</v>
      </c>
      <c r="D209" t="s">
        <v>52</v>
      </c>
      <c r="E209" t="s">
        <v>27</v>
      </c>
      <c r="F209" t="s">
        <v>12</v>
      </c>
      <c r="G209" t="s">
        <v>13</v>
      </c>
      <c r="H209">
        <v>34500</v>
      </c>
      <c r="I209">
        <v>96.6386554621849</v>
      </c>
      <c r="J209">
        <v>3334033.6134453798</v>
      </c>
      <c r="K209">
        <v>3967500</v>
      </c>
    </row>
    <row r="210" spans="1:11" x14ac:dyDescent="0.25">
      <c r="A210" s="1">
        <v>45673</v>
      </c>
      <c r="B210" t="s">
        <v>146</v>
      </c>
      <c r="C210" t="s">
        <v>52</v>
      </c>
      <c r="D210" t="s">
        <v>52</v>
      </c>
      <c r="E210" t="s">
        <v>27</v>
      </c>
      <c r="F210" t="s">
        <v>14</v>
      </c>
      <c r="G210" t="s">
        <v>15</v>
      </c>
      <c r="H210">
        <v>250</v>
      </c>
      <c r="I210">
        <v>178.99159663865501</v>
      </c>
      <c r="J210">
        <v>0</v>
      </c>
      <c r="K210">
        <v>0</v>
      </c>
    </row>
    <row r="211" spans="1:11" x14ac:dyDescent="0.25">
      <c r="A211" s="1">
        <v>45673</v>
      </c>
      <c r="B211" t="s">
        <v>146</v>
      </c>
      <c r="C211" t="s">
        <v>52</v>
      </c>
      <c r="D211" t="s">
        <v>52</v>
      </c>
      <c r="E211" t="s">
        <v>27</v>
      </c>
      <c r="F211" t="s">
        <v>14</v>
      </c>
      <c r="G211" t="s">
        <v>15</v>
      </c>
      <c r="H211">
        <v>5750</v>
      </c>
      <c r="I211">
        <v>178.99159663865501</v>
      </c>
      <c r="J211">
        <v>1029201.68067227</v>
      </c>
      <c r="K211">
        <v>1224750</v>
      </c>
    </row>
    <row r="212" spans="1:11" x14ac:dyDescent="0.25">
      <c r="A212" s="1">
        <v>45673</v>
      </c>
      <c r="B212" t="s">
        <v>146</v>
      </c>
      <c r="C212" t="s">
        <v>52</v>
      </c>
      <c r="D212" t="s">
        <v>52</v>
      </c>
      <c r="E212" t="s">
        <v>27</v>
      </c>
      <c r="F212" t="s">
        <v>14</v>
      </c>
      <c r="G212" t="s">
        <v>15</v>
      </c>
      <c r="H212">
        <v>150</v>
      </c>
      <c r="I212">
        <v>178.99159663865501</v>
      </c>
      <c r="J212">
        <v>0</v>
      </c>
      <c r="K212">
        <v>0</v>
      </c>
    </row>
    <row r="213" spans="1:11" x14ac:dyDescent="0.25">
      <c r="A213" s="1">
        <v>45673</v>
      </c>
      <c r="B213" t="s">
        <v>146</v>
      </c>
      <c r="C213" t="s">
        <v>52</v>
      </c>
      <c r="D213" t="s">
        <v>52</v>
      </c>
      <c r="E213" t="s">
        <v>27</v>
      </c>
      <c r="F213" t="s">
        <v>14</v>
      </c>
      <c r="G213" t="s">
        <v>15</v>
      </c>
      <c r="H213">
        <v>3450</v>
      </c>
      <c r="I213">
        <v>178.99159663865501</v>
      </c>
      <c r="J213">
        <v>617521.00840336003</v>
      </c>
      <c r="K213">
        <v>734850</v>
      </c>
    </row>
    <row r="214" spans="1:11" x14ac:dyDescent="0.25">
      <c r="A214" s="1">
        <v>45673</v>
      </c>
      <c r="B214" t="s">
        <v>145</v>
      </c>
      <c r="C214" t="s">
        <v>52</v>
      </c>
      <c r="D214" t="s">
        <v>52</v>
      </c>
      <c r="E214" t="s">
        <v>27</v>
      </c>
      <c r="F214" t="s">
        <v>16</v>
      </c>
      <c r="G214" t="s">
        <v>17</v>
      </c>
      <c r="H214">
        <v>2400</v>
      </c>
      <c r="I214">
        <v>198.31932773109199</v>
      </c>
      <c r="J214">
        <v>475966.38655462099</v>
      </c>
      <c r="K214">
        <v>566400</v>
      </c>
    </row>
    <row r="215" spans="1:11" x14ac:dyDescent="0.25">
      <c r="A215" s="1">
        <v>45673</v>
      </c>
      <c r="B215" t="s">
        <v>146</v>
      </c>
      <c r="C215" t="s">
        <v>52</v>
      </c>
      <c r="D215" t="s">
        <v>52</v>
      </c>
      <c r="E215" t="s">
        <v>27</v>
      </c>
      <c r="F215" t="s">
        <v>22</v>
      </c>
      <c r="G215" t="s">
        <v>23</v>
      </c>
      <c r="H215">
        <v>18</v>
      </c>
      <c r="I215">
        <v>0</v>
      </c>
      <c r="J215">
        <v>0</v>
      </c>
      <c r="K215">
        <v>0</v>
      </c>
    </row>
    <row r="216" spans="1:11" x14ac:dyDescent="0.25">
      <c r="A216" s="1">
        <v>45673</v>
      </c>
      <c r="B216" t="s">
        <v>146</v>
      </c>
      <c r="C216" t="s">
        <v>52</v>
      </c>
      <c r="D216" t="s">
        <v>52</v>
      </c>
      <c r="E216" t="s">
        <v>27</v>
      </c>
      <c r="F216" t="s">
        <v>22</v>
      </c>
      <c r="G216" t="s">
        <v>23</v>
      </c>
      <c r="H216">
        <v>18</v>
      </c>
      <c r="I216">
        <v>0</v>
      </c>
      <c r="J216">
        <v>0</v>
      </c>
      <c r="K216">
        <v>0</v>
      </c>
    </row>
    <row r="217" spans="1:11" x14ac:dyDescent="0.25">
      <c r="A217" s="1">
        <v>45673</v>
      </c>
      <c r="B217" t="s">
        <v>145</v>
      </c>
      <c r="C217" t="s">
        <v>28</v>
      </c>
      <c r="D217" t="s">
        <v>28</v>
      </c>
      <c r="E217" t="s">
        <v>27</v>
      </c>
      <c r="F217" t="s">
        <v>12</v>
      </c>
      <c r="G217" t="s">
        <v>13</v>
      </c>
      <c r="H217">
        <v>500</v>
      </c>
      <c r="I217">
        <v>96.6386554621849</v>
      </c>
      <c r="J217">
        <v>0</v>
      </c>
      <c r="K217">
        <v>0</v>
      </c>
    </row>
    <row r="218" spans="1:11" x14ac:dyDescent="0.25">
      <c r="A218" s="1">
        <v>45673</v>
      </c>
      <c r="B218" t="s">
        <v>145</v>
      </c>
      <c r="C218" t="s">
        <v>28</v>
      </c>
      <c r="D218" t="s">
        <v>28</v>
      </c>
      <c r="E218" t="s">
        <v>27</v>
      </c>
      <c r="F218" t="s">
        <v>12</v>
      </c>
      <c r="G218" t="s">
        <v>13</v>
      </c>
      <c r="H218">
        <v>11500</v>
      </c>
      <c r="I218">
        <v>96.6386554621849</v>
      </c>
      <c r="J218">
        <v>1111344.5378151301</v>
      </c>
      <c r="K218">
        <v>1322500</v>
      </c>
    </row>
    <row r="219" spans="1:11" x14ac:dyDescent="0.25">
      <c r="A219" s="1">
        <v>45673</v>
      </c>
      <c r="B219" t="s">
        <v>146</v>
      </c>
      <c r="C219" t="s">
        <v>28</v>
      </c>
      <c r="D219" t="s">
        <v>28</v>
      </c>
      <c r="E219" t="s">
        <v>27</v>
      </c>
      <c r="F219" t="s">
        <v>14</v>
      </c>
      <c r="G219" t="s">
        <v>15</v>
      </c>
      <c r="H219">
        <v>250</v>
      </c>
      <c r="I219">
        <v>178.99159663865501</v>
      </c>
      <c r="J219">
        <v>0</v>
      </c>
      <c r="K219">
        <v>0</v>
      </c>
    </row>
    <row r="220" spans="1:11" x14ac:dyDescent="0.25">
      <c r="A220" s="1">
        <v>45673</v>
      </c>
      <c r="B220" t="s">
        <v>146</v>
      </c>
      <c r="C220" t="s">
        <v>28</v>
      </c>
      <c r="D220" t="s">
        <v>28</v>
      </c>
      <c r="E220" t="s">
        <v>27</v>
      </c>
      <c r="F220" t="s">
        <v>14</v>
      </c>
      <c r="G220" t="s">
        <v>15</v>
      </c>
      <c r="H220">
        <v>5750</v>
      </c>
      <c r="I220">
        <v>178.99159663865501</v>
      </c>
      <c r="J220">
        <v>1029201.68067227</v>
      </c>
      <c r="K220">
        <v>1224750</v>
      </c>
    </row>
    <row r="221" spans="1:11" x14ac:dyDescent="0.25">
      <c r="A221" s="1">
        <v>45673</v>
      </c>
      <c r="B221" t="s">
        <v>146</v>
      </c>
      <c r="C221" t="s">
        <v>28</v>
      </c>
      <c r="D221" t="s">
        <v>28</v>
      </c>
      <c r="E221" t="s">
        <v>27</v>
      </c>
      <c r="F221" t="s">
        <v>22</v>
      </c>
      <c r="G221" t="s">
        <v>23</v>
      </c>
      <c r="H221">
        <v>8</v>
      </c>
      <c r="I221">
        <v>0</v>
      </c>
      <c r="J221">
        <v>0</v>
      </c>
      <c r="K221">
        <v>0</v>
      </c>
    </row>
    <row r="222" spans="1:11" x14ac:dyDescent="0.25">
      <c r="A222" s="1">
        <v>45673</v>
      </c>
      <c r="B222" t="s">
        <v>146</v>
      </c>
      <c r="C222" t="s">
        <v>33</v>
      </c>
      <c r="D222" t="s">
        <v>34</v>
      </c>
      <c r="E222" t="s">
        <v>27</v>
      </c>
      <c r="F222" t="s">
        <v>14</v>
      </c>
      <c r="G222" t="s">
        <v>15</v>
      </c>
      <c r="H222">
        <v>50</v>
      </c>
      <c r="I222">
        <v>178.99159663865501</v>
      </c>
      <c r="J222">
        <v>0</v>
      </c>
      <c r="K222">
        <v>0</v>
      </c>
    </row>
    <row r="223" spans="1:11" x14ac:dyDescent="0.25">
      <c r="A223" s="1">
        <v>45673</v>
      </c>
      <c r="B223" t="s">
        <v>146</v>
      </c>
      <c r="C223" t="s">
        <v>33</v>
      </c>
      <c r="D223" t="s">
        <v>34</v>
      </c>
      <c r="E223" t="s">
        <v>27</v>
      </c>
      <c r="F223" t="s">
        <v>14</v>
      </c>
      <c r="G223" t="s">
        <v>15</v>
      </c>
      <c r="H223">
        <v>1150</v>
      </c>
      <c r="I223">
        <v>178.99159663865501</v>
      </c>
      <c r="J223">
        <v>205840.33613445301</v>
      </c>
      <c r="K223">
        <v>244950</v>
      </c>
    </row>
    <row r="224" spans="1:11" x14ac:dyDescent="0.25">
      <c r="A224" s="1">
        <v>45673</v>
      </c>
      <c r="B224" t="s">
        <v>145</v>
      </c>
      <c r="C224" t="s">
        <v>33</v>
      </c>
      <c r="D224" t="s">
        <v>34</v>
      </c>
      <c r="E224" t="s">
        <v>27</v>
      </c>
      <c r="F224" t="s">
        <v>20</v>
      </c>
      <c r="G224" t="s">
        <v>21</v>
      </c>
      <c r="H224">
        <v>22800</v>
      </c>
      <c r="I224">
        <v>231.09243697478999</v>
      </c>
      <c r="J224">
        <v>5268907.5630252101</v>
      </c>
      <c r="K224">
        <v>6270000</v>
      </c>
    </row>
    <row r="225" spans="1:11" x14ac:dyDescent="0.25">
      <c r="A225" s="1">
        <v>45673</v>
      </c>
      <c r="B225" t="s">
        <v>146</v>
      </c>
      <c r="C225" t="s">
        <v>33</v>
      </c>
      <c r="D225" t="s">
        <v>34</v>
      </c>
      <c r="E225" t="s">
        <v>27</v>
      </c>
      <c r="F225" t="s">
        <v>22</v>
      </c>
      <c r="G225" t="s">
        <v>23</v>
      </c>
      <c r="H225">
        <v>16</v>
      </c>
      <c r="I225">
        <v>0</v>
      </c>
      <c r="J225">
        <v>0</v>
      </c>
      <c r="K225">
        <v>0</v>
      </c>
    </row>
    <row r="226" spans="1:11" x14ac:dyDescent="0.25">
      <c r="A226" s="1">
        <v>45673</v>
      </c>
      <c r="B226" t="s">
        <v>145</v>
      </c>
      <c r="C226" t="s">
        <v>56</v>
      </c>
      <c r="D226" t="s">
        <v>57</v>
      </c>
      <c r="E226" t="s">
        <v>27</v>
      </c>
      <c r="F226" t="s">
        <v>12</v>
      </c>
      <c r="G226" t="s">
        <v>13</v>
      </c>
      <c r="H226">
        <v>500</v>
      </c>
      <c r="I226">
        <v>96.6386554621849</v>
      </c>
      <c r="J226">
        <v>0</v>
      </c>
      <c r="K226">
        <v>0</v>
      </c>
    </row>
    <row r="227" spans="1:11" x14ac:dyDescent="0.25">
      <c r="A227" s="1">
        <v>45673</v>
      </c>
      <c r="B227" t="s">
        <v>145</v>
      </c>
      <c r="C227" t="s">
        <v>56</v>
      </c>
      <c r="D227" t="s">
        <v>57</v>
      </c>
      <c r="E227" t="s">
        <v>27</v>
      </c>
      <c r="F227" t="s">
        <v>12</v>
      </c>
      <c r="G227" t="s">
        <v>13</v>
      </c>
      <c r="H227">
        <v>11500</v>
      </c>
      <c r="I227">
        <v>96.6386554621849</v>
      </c>
      <c r="J227">
        <v>1111344.5378151301</v>
      </c>
      <c r="K227">
        <v>1322500</v>
      </c>
    </row>
    <row r="228" spans="1:11" x14ac:dyDescent="0.25">
      <c r="A228" s="1">
        <v>45673</v>
      </c>
      <c r="B228" t="s">
        <v>146</v>
      </c>
      <c r="C228" t="s">
        <v>56</v>
      </c>
      <c r="D228" t="s">
        <v>57</v>
      </c>
      <c r="E228" t="s">
        <v>27</v>
      </c>
      <c r="F228" t="s">
        <v>14</v>
      </c>
      <c r="G228" t="s">
        <v>15</v>
      </c>
      <c r="H228">
        <v>250</v>
      </c>
      <c r="I228">
        <v>178.99159663865501</v>
      </c>
      <c r="J228">
        <v>0</v>
      </c>
      <c r="K228">
        <v>0</v>
      </c>
    </row>
    <row r="229" spans="1:11" x14ac:dyDescent="0.25">
      <c r="A229" s="1">
        <v>45673</v>
      </c>
      <c r="B229" t="s">
        <v>146</v>
      </c>
      <c r="C229" t="s">
        <v>56</v>
      </c>
      <c r="D229" t="s">
        <v>57</v>
      </c>
      <c r="E229" t="s">
        <v>27</v>
      </c>
      <c r="F229" t="s">
        <v>14</v>
      </c>
      <c r="G229" t="s">
        <v>15</v>
      </c>
      <c r="H229">
        <v>5750</v>
      </c>
      <c r="I229">
        <v>178.99159663865501</v>
      </c>
      <c r="J229">
        <v>1029201.68067227</v>
      </c>
      <c r="K229">
        <v>1224750</v>
      </c>
    </row>
    <row r="230" spans="1:11" x14ac:dyDescent="0.25">
      <c r="A230" s="1">
        <v>45673</v>
      </c>
      <c r="B230" t="s">
        <v>146</v>
      </c>
      <c r="C230" t="s">
        <v>56</v>
      </c>
      <c r="D230" t="s">
        <v>57</v>
      </c>
      <c r="E230" t="s">
        <v>27</v>
      </c>
      <c r="F230" t="s">
        <v>22</v>
      </c>
      <c r="G230" t="s">
        <v>23</v>
      </c>
      <c r="H230">
        <v>8</v>
      </c>
      <c r="I230">
        <v>0</v>
      </c>
      <c r="J230">
        <v>0</v>
      </c>
      <c r="K230">
        <v>0</v>
      </c>
    </row>
    <row r="231" spans="1:11" x14ac:dyDescent="0.25">
      <c r="A231" s="1">
        <v>45673</v>
      </c>
      <c r="B231" t="s">
        <v>145</v>
      </c>
      <c r="C231" t="s">
        <v>131</v>
      </c>
      <c r="D231" t="s">
        <v>132</v>
      </c>
      <c r="E231" t="s">
        <v>27</v>
      </c>
      <c r="F231" t="s">
        <v>12</v>
      </c>
      <c r="G231" t="s">
        <v>13</v>
      </c>
      <c r="H231">
        <v>300</v>
      </c>
      <c r="I231">
        <v>96.6386554621849</v>
      </c>
      <c r="J231">
        <v>0</v>
      </c>
      <c r="K231">
        <v>0</v>
      </c>
    </row>
    <row r="232" spans="1:11" x14ac:dyDescent="0.25">
      <c r="A232" s="1">
        <v>45673</v>
      </c>
      <c r="B232" t="s">
        <v>145</v>
      </c>
      <c r="C232" t="s">
        <v>131</v>
      </c>
      <c r="D232" t="s">
        <v>132</v>
      </c>
      <c r="E232" t="s">
        <v>27</v>
      </c>
      <c r="F232" t="s">
        <v>12</v>
      </c>
      <c r="G232" t="s">
        <v>13</v>
      </c>
      <c r="H232">
        <v>6900</v>
      </c>
      <c r="I232">
        <v>96.6386554621849</v>
      </c>
      <c r="J232">
        <v>666806.72268907598</v>
      </c>
      <c r="K232">
        <v>793500.00000001001</v>
      </c>
    </row>
    <row r="233" spans="1:11" x14ac:dyDescent="0.25">
      <c r="A233" s="1">
        <v>45673</v>
      </c>
      <c r="B233" t="s">
        <v>146</v>
      </c>
      <c r="C233" t="s">
        <v>131</v>
      </c>
      <c r="D233" t="s">
        <v>132</v>
      </c>
      <c r="E233" t="s">
        <v>27</v>
      </c>
      <c r="F233" t="s">
        <v>14</v>
      </c>
      <c r="G233" t="s">
        <v>15</v>
      </c>
      <c r="H233">
        <v>200</v>
      </c>
      <c r="I233">
        <v>178.99159663865501</v>
      </c>
      <c r="J233">
        <v>0</v>
      </c>
      <c r="K233">
        <v>0</v>
      </c>
    </row>
    <row r="234" spans="1:11" x14ac:dyDescent="0.25">
      <c r="A234" s="1">
        <v>45673</v>
      </c>
      <c r="B234" t="s">
        <v>146</v>
      </c>
      <c r="C234" t="s">
        <v>131</v>
      </c>
      <c r="D234" t="s">
        <v>132</v>
      </c>
      <c r="E234" t="s">
        <v>27</v>
      </c>
      <c r="F234" t="s">
        <v>14</v>
      </c>
      <c r="G234" t="s">
        <v>15</v>
      </c>
      <c r="H234">
        <v>4600</v>
      </c>
      <c r="I234">
        <v>178.99159663865501</v>
      </c>
      <c r="J234">
        <v>823361.34453781298</v>
      </c>
      <c r="K234">
        <v>979800.00000001001</v>
      </c>
    </row>
    <row r="235" spans="1:11" x14ac:dyDescent="0.25">
      <c r="A235" s="1">
        <v>45673</v>
      </c>
      <c r="B235" t="s">
        <v>145</v>
      </c>
      <c r="C235" t="s">
        <v>131</v>
      </c>
      <c r="D235" t="s">
        <v>132</v>
      </c>
      <c r="E235" t="s">
        <v>27</v>
      </c>
      <c r="F235" t="s">
        <v>20</v>
      </c>
      <c r="G235" t="s">
        <v>21</v>
      </c>
      <c r="H235">
        <v>3600</v>
      </c>
      <c r="I235">
        <v>231.09243697478999</v>
      </c>
      <c r="J235">
        <v>831932.77310924395</v>
      </c>
      <c r="K235">
        <v>990000</v>
      </c>
    </row>
    <row r="236" spans="1:11" x14ac:dyDescent="0.25">
      <c r="A236" s="1">
        <v>45673</v>
      </c>
      <c r="B236" t="s">
        <v>146</v>
      </c>
      <c r="C236" t="s">
        <v>131</v>
      </c>
      <c r="D236" t="s">
        <v>132</v>
      </c>
      <c r="E236" t="s">
        <v>27</v>
      </c>
      <c r="F236" t="s">
        <v>22</v>
      </c>
      <c r="G236" t="s">
        <v>23</v>
      </c>
      <c r="H236">
        <v>8</v>
      </c>
      <c r="I236">
        <v>0</v>
      </c>
      <c r="J236">
        <v>0</v>
      </c>
      <c r="K236">
        <v>0</v>
      </c>
    </row>
    <row r="237" spans="1:11" x14ac:dyDescent="0.25">
      <c r="A237" s="1">
        <v>45673</v>
      </c>
      <c r="B237" t="s">
        <v>145</v>
      </c>
      <c r="C237" t="s">
        <v>133</v>
      </c>
      <c r="D237" t="s">
        <v>134</v>
      </c>
      <c r="E237" t="s">
        <v>27</v>
      </c>
      <c r="F237" t="s">
        <v>12</v>
      </c>
      <c r="G237" t="s">
        <v>13</v>
      </c>
      <c r="H237">
        <v>2200</v>
      </c>
      <c r="I237">
        <v>96.6386554621849</v>
      </c>
      <c r="J237">
        <v>0</v>
      </c>
      <c r="K237">
        <v>0</v>
      </c>
    </row>
    <row r="238" spans="1:11" x14ac:dyDescent="0.25">
      <c r="A238" s="1">
        <v>45673</v>
      </c>
      <c r="B238" t="s">
        <v>145</v>
      </c>
      <c r="C238" t="s">
        <v>133</v>
      </c>
      <c r="D238" t="s">
        <v>134</v>
      </c>
      <c r="E238" t="s">
        <v>27</v>
      </c>
      <c r="F238" t="s">
        <v>12</v>
      </c>
      <c r="G238" t="s">
        <v>13</v>
      </c>
      <c r="H238">
        <v>50600</v>
      </c>
      <c r="I238">
        <v>96.6386554621849</v>
      </c>
      <c r="J238">
        <v>4889915.9663865604</v>
      </c>
      <c r="K238">
        <v>5818999.9999999898</v>
      </c>
    </row>
    <row r="239" spans="1:11" x14ac:dyDescent="0.25">
      <c r="A239" s="1">
        <v>45673</v>
      </c>
      <c r="B239" t="s">
        <v>146</v>
      </c>
      <c r="C239" t="s">
        <v>133</v>
      </c>
      <c r="D239" t="s">
        <v>134</v>
      </c>
      <c r="E239" t="s">
        <v>27</v>
      </c>
      <c r="F239" t="s">
        <v>22</v>
      </c>
      <c r="G239" t="s">
        <v>23</v>
      </c>
      <c r="H239">
        <v>18</v>
      </c>
      <c r="I239">
        <v>0</v>
      </c>
      <c r="J239">
        <v>0</v>
      </c>
      <c r="K239">
        <v>0</v>
      </c>
    </row>
    <row r="240" spans="1:11" x14ac:dyDescent="0.25">
      <c r="A240" s="1">
        <v>45676</v>
      </c>
      <c r="B240" t="s">
        <v>106</v>
      </c>
      <c r="C240" t="s">
        <v>135</v>
      </c>
      <c r="D240" t="s">
        <v>93</v>
      </c>
      <c r="E240" t="s">
        <v>94</v>
      </c>
      <c r="F240" t="s">
        <v>78</v>
      </c>
      <c r="G240" t="s">
        <v>79</v>
      </c>
      <c r="H240">
        <v>20000</v>
      </c>
      <c r="I240">
        <v>240.48</v>
      </c>
      <c r="J240">
        <v>4809600</v>
      </c>
      <c r="K240">
        <v>5723424</v>
      </c>
    </row>
    <row r="241" spans="1:11" x14ac:dyDescent="0.25">
      <c r="A241" s="1">
        <v>45676</v>
      </c>
      <c r="B241" t="s">
        <v>106</v>
      </c>
      <c r="C241" t="s">
        <v>135</v>
      </c>
      <c r="D241" t="s">
        <v>93</v>
      </c>
      <c r="E241" t="s">
        <v>94</v>
      </c>
      <c r="F241" t="s">
        <v>78</v>
      </c>
      <c r="G241" t="s">
        <v>79</v>
      </c>
      <c r="H241">
        <v>20000</v>
      </c>
      <c r="I241">
        <v>240.48</v>
      </c>
      <c r="J241">
        <v>4809600</v>
      </c>
      <c r="K241">
        <v>5723424</v>
      </c>
    </row>
    <row r="242" spans="1:11" x14ac:dyDescent="0.25">
      <c r="A242" s="1">
        <v>45676</v>
      </c>
      <c r="B242" t="s">
        <v>106</v>
      </c>
      <c r="C242" t="s">
        <v>136</v>
      </c>
      <c r="D242" t="s">
        <v>129</v>
      </c>
      <c r="E242" t="s">
        <v>130</v>
      </c>
      <c r="F242" t="s">
        <v>78</v>
      </c>
      <c r="G242" t="s">
        <v>79</v>
      </c>
      <c r="H242">
        <v>25000</v>
      </c>
      <c r="I242">
        <v>240.48</v>
      </c>
      <c r="J242">
        <v>6012000</v>
      </c>
      <c r="K242">
        <v>7154280</v>
      </c>
    </row>
    <row r="243" spans="1:11" x14ac:dyDescent="0.25">
      <c r="A243" s="1">
        <v>45676</v>
      </c>
      <c r="B243" t="s">
        <v>146</v>
      </c>
      <c r="C243" t="s">
        <v>137</v>
      </c>
      <c r="D243" t="s">
        <v>137</v>
      </c>
      <c r="E243" t="s">
        <v>80</v>
      </c>
      <c r="F243" t="s">
        <v>81</v>
      </c>
      <c r="G243" t="s">
        <v>82</v>
      </c>
      <c r="H243">
        <v>8</v>
      </c>
      <c r="I243">
        <v>2500</v>
      </c>
      <c r="J243">
        <v>20000</v>
      </c>
      <c r="K243">
        <v>20000</v>
      </c>
    </row>
    <row r="244" spans="1:11" x14ac:dyDescent="0.25">
      <c r="A244" s="1">
        <v>45676</v>
      </c>
      <c r="B244" t="s">
        <v>146</v>
      </c>
      <c r="C244" t="s">
        <v>137</v>
      </c>
      <c r="D244" t="s">
        <v>137</v>
      </c>
      <c r="E244" t="s">
        <v>80</v>
      </c>
      <c r="F244" t="s">
        <v>124</v>
      </c>
      <c r="G244" t="s">
        <v>125</v>
      </c>
      <c r="H244">
        <v>1680</v>
      </c>
      <c r="I244">
        <v>88</v>
      </c>
      <c r="J244">
        <v>147840</v>
      </c>
      <c r="K244">
        <v>175929.60000000001</v>
      </c>
    </row>
    <row r="245" spans="1:11" x14ac:dyDescent="0.25">
      <c r="A245" s="1">
        <v>45676</v>
      </c>
      <c r="B245" t="s">
        <v>146</v>
      </c>
      <c r="C245" t="s">
        <v>138</v>
      </c>
      <c r="D245" t="s">
        <v>138</v>
      </c>
      <c r="E245" t="s">
        <v>80</v>
      </c>
      <c r="F245" t="s">
        <v>81</v>
      </c>
      <c r="G245" t="s">
        <v>82</v>
      </c>
      <c r="H245">
        <v>4</v>
      </c>
      <c r="I245">
        <v>2500</v>
      </c>
      <c r="J245">
        <v>10000</v>
      </c>
      <c r="K245">
        <v>10000</v>
      </c>
    </row>
    <row r="246" spans="1:11" x14ac:dyDescent="0.25">
      <c r="A246" s="1">
        <v>45676</v>
      </c>
      <c r="B246" t="s">
        <v>146</v>
      </c>
      <c r="C246" t="s">
        <v>138</v>
      </c>
      <c r="D246" t="s">
        <v>138</v>
      </c>
      <c r="E246" t="s">
        <v>80</v>
      </c>
      <c r="F246" t="s">
        <v>119</v>
      </c>
      <c r="G246" t="s">
        <v>120</v>
      </c>
      <c r="H246">
        <v>920</v>
      </c>
      <c r="I246">
        <v>217</v>
      </c>
      <c r="J246">
        <v>199640</v>
      </c>
      <c r="K246">
        <v>237571.6</v>
      </c>
    </row>
    <row r="247" spans="1:11" x14ac:dyDescent="0.25">
      <c r="A247" s="1">
        <v>45676</v>
      </c>
      <c r="B247" t="s">
        <v>106</v>
      </c>
      <c r="C247" t="s">
        <v>96</v>
      </c>
      <c r="D247" t="s">
        <v>97</v>
      </c>
      <c r="E247" t="s">
        <v>98</v>
      </c>
      <c r="F247" t="s">
        <v>78</v>
      </c>
      <c r="G247" t="s">
        <v>79</v>
      </c>
      <c r="H247">
        <v>20000</v>
      </c>
      <c r="I247">
        <v>240.48</v>
      </c>
      <c r="J247">
        <v>4809600</v>
      </c>
      <c r="K247">
        <v>5723424</v>
      </c>
    </row>
    <row r="248" spans="1:11" x14ac:dyDescent="0.25">
      <c r="A248" s="1">
        <v>45676</v>
      </c>
      <c r="B248" t="s">
        <v>106</v>
      </c>
      <c r="C248" t="s">
        <v>139</v>
      </c>
      <c r="D248" t="s">
        <v>94</v>
      </c>
      <c r="E248" t="s">
        <v>94</v>
      </c>
      <c r="F248" t="s">
        <v>78</v>
      </c>
      <c r="G248" t="s">
        <v>79</v>
      </c>
      <c r="H248">
        <v>20000</v>
      </c>
      <c r="I248">
        <v>240.48</v>
      </c>
      <c r="J248">
        <v>4809600</v>
      </c>
      <c r="K248">
        <v>5723424</v>
      </c>
    </row>
    <row r="249" spans="1:11" x14ac:dyDescent="0.25">
      <c r="A249" s="1">
        <v>45676</v>
      </c>
      <c r="B249" t="s">
        <v>106</v>
      </c>
      <c r="C249" t="s">
        <v>140</v>
      </c>
      <c r="D249" t="s">
        <v>94</v>
      </c>
      <c r="E249" t="s">
        <v>94</v>
      </c>
      <c r="F249" t="s">
        <v>141</v>
      </c>
      <c r="G249" t="s">
        <v>142</v>
      </c>
      <c r="H249">
        <v>5000</v>
      </c>
      <c r="I249">
        <v>207.73</v>
      </c>
      <c r="J249">
        <v>1038650</v>
      </c>
      <c r="K249">
        <v>1235993.5</v>
      </c>
    </row>
    <row r="250" spans="1:11" x14ac:dyDescent="0.25">
      <c r="A250" s="1">
        <v>45676</v>
      </c>
      <c r="B250" t="s">
        <v>106</v>
      </c>
      <c r="C250" t="s">
        <v>140</v>
      </c>
      <c r="D250" t="s">
        <v>94</v>
      </c>
      <c r="E250" t="s">
        <v>94</v>
      </c>
      <c r="F250" t="s">
        <v>78</v>
      </c>
      <c r="G250" t="s">
        <v>79</v>
      </c>
      <c r="H250">
        <v>15000</v>
      </c>
      <c r="I250">
        <v>240.48</v>
      </c>
      <c r="J250">
        <v>3607200</v>
      </c>
      <c r="K250">
        <v>4292568</v>
      </c>
    </row>
    <row r="251" spans="1:11" x14ac:dyDescent="0.25">
      <c r="A251" s="1">
        <v>45676</v>
      </c>
      <c r="B251" t="s">
        <v>145</v>
      </c>
      <c r="C251" t="s">
        <v>143</v>
      </c>
      <c r="D251" t="s">
        <v>53</v>
      </c>
      <c r="E251" t="s">
        <v>27</v>
      </c>
      <c r="F251" t="s">
        <v>12</v>
      </c>
      <c r="G251" t="s">
        <v>13</v>
      </c>
      <c r="H251">
        <v>1200</v>
      </c>
      <c r="I251">
        <v>96.6386554621849</v>
      </c>
      <c r="J251">
        <v>0</v>
      </c>
      <c r="K251">
        <v>0</v>
      </c>
    </row>
    <row r="252" spans="1:11" x14ac:dyDescent="0.25">
      <c r="A252" s="1">
        <v>45676</v>
      </c>
      <c r="B252" t="s">
        <v>145</v>
      </c>
      <c r="C252" t="s">
        <v>143</v>
      </c>
      <c r="D252" t="s">
        <v>53</v>
      </c>
      <c r="E252" t="s">
        <v>27</v>
      </c>
      <c r="F252" t="s">
        <v>12</v>
      </c>
      <c r="G252" t="s">
        <v>13</v>
      </c>
      <c r="H252">
        <v>27600</v>
      </c>
      <c r="I252">
        <v>96.6386554621849</v>
      </c>
      <c r="J252">
        <v>2667226.8907563002</v>
      </c>
      <c r="K252">
        <v>3174000</v>
      </c>
    </row>
    <row r="253" spans="1:11" x14ac:dyDescent="0.25">
      <c r="A253" s="1">
        <v>45676</v>
      </c>
      <c r="B253" t="s">
        <v>146</v>
      </c>
      <c r="C253" t="s">
        <v>143</v>
      </c>
      <c r="D253" t="s">
        <v>53</v>
      </c>
      <c r="E253" t="s">
        <v>27</v>
      </c>
      <c r="F253" t="s">
        <v>14</v>
      </c>
      <c r="G253" t="s">
        <v>15</v>
      </c>
      <c r="H253">
        <v>250</v>
      </c>
      <c r="I253">
        <v>178.99159663865501</v>
      </c>
      <c r="J253">
        <v>0</v>
      </c>
      <c r="K253">
        <v>0</v>
      </c>
    </row>
    <row r="254" spans="1:11" x14ac:dyDescent="0.25">
      <c r="A254" s="1">
        <v>45676</v>
      </c>
      <c r="B254" t="s">
        <v>146</v>
      </c>
      <c r="C254" t="s">
        <v>143</v>
      </c>
      <c r="D254" t="s">
        <v>53</v>
      </c>
      <c r="E254" t="s">
        <v>27</v>
      </c>
      <c r="F254" t="s">
        <v>14</v>
      </c>
      <c r="G254" t="s">
        <v>15</v>
      </c>
      <c r="H254">
        <v>5750</v>
      </c>
      <c r="I254">
        <v>178.99159663865501</v>
      </c>
      <c r="J254">
        <v>1029201.68067227</v>
      </c>
      <c r="K254">
        <v>1224750</v>
      </c>
    </row>
    <row r="255" spans="1:11" x14ac:dyDescent="0.25">
      <c r="A255" s="1">
        <v>45676</v>
      </c>
      <c r="B255" t="s">
        <v>145</v>
      </c>
      <c r="C255" t="s">
        <v>143</v>
      </c>
      <c r="D255" t="s">
        <v>53</v>
      </c>
      <c r="E255" t="s">
        <v>27</v>
      </c>
      <c r="F255" t="s">
        <v>16</v>
      </c>
      <c r="G255" t="s">
        <v>17</v>
      </c>
      <c r="H255">
        <v>2400</v>
      </c>
      <c r="I255">
        <v>198.31932773109199</v>
      </c>
      <c r="J255">
        <v>475966.38655462099</v>
      </c>
      <c r="K255">
        <v>566400</v>
      </c>
    </row>
    <row r="256" spans="1:11" x14ac:dyDescent="0.25">
      <c r="A256" s="1">
        <v>45676</v>
      </c>
      <c r="B256" t="s">
        <v>145</v>
      </c>
      <c r="C256" t="s">
        <v>143</v>
      </c>
      <c r="D256" t="s">
        <v>53</v>
      </c>
      <c r="E256" t="s">
        <v>27</v>
      </c>
      <c r="F256" t="s">
        <v>20</v>
      </c>
      <c r="G256" t="s">
        <v>21</v>
      </c>
      <c r="H256">
        <v>1200</v>
      </c>
      <c r="I256">
        <v>231.09243697478999</v>
      </c>
      <c r="J256">
        <v>277310.92436974798</v>
      </c>
      <c r="K256">
        <v>330000</v>
      </c>
    </row>
    <row r="257" spans="1:11" x14ac:dyDescent="0.25">
      <c r="A257" s="1">
        <v>45676</v>
      </c>
      <c r="B257" t="s">
        <v>146</v>
      </c>
      <c r="C257" t="s">
        <v>143</v>
      </c>
      <c r="D257" t="s">
        <v>53</v>
      </c>
      <c r="E257" t="s">
        <v>27</v>
      </c>
      <c r="F257" t="s">
        <v>22</v>
      </c>
      <c r="G257" t="s">
        <v>23</v>
      </c>
      <c r="H257">
        <v>16</v>
      </c>
      <c r="I257">
        <v>0</v>
      </c>
      <c r="J257">
        <v>0</v>
      </c>
      <c r="K257">
        <v>0</v>
      </c>
    </row>
    <row r="258" spans="1:11" x14ac:dyDescent="0.25">
      <c r="A258" s="1">
        <v>45676</v>
      </c>
      <c r="B258" t="s">
        <v>145</v>
      </c>
      <c r="C258" t="s">
        <v>133</v>
      </c>
      <c r="D258" t="s">
        <v>134</v>
      </c>
      <c r="E258" t="s">
        <v>27</v>
      </c>
      <c r="F258" t="s">
        <v>12</v>
      </c>
      <c r="G258" t="s">
        <v>13</v>
      </c>
      <c r="H258">
        <v>1000</v>
      </c>
      <c r="I258">
        <v>96.6386554621849</v>
      </c>
      <c r="J258">
        <v>0</v>
      </c>
      <c r="K258">
        <v>0</v>
      </c>
    </row>
    <row r="259" spans="1:11" x14ac:dyDescent="0.25">
      <c r="A259" s="1">
        <v>45676</v>
      </c>
      <c r="B259" t="s">
        <v>145</v>
      </c>
      <c r="C259" t="s">
        <v>133</v>
      </c>
      <c r="D259" t="s">
        <v>134</v>
      </c>
      <c r="E259" t="s">
        <v>27</v>
      </c>
      <c r="F259" t="s">
        <v>12</v>
      </c>
      <c r="G259" t="s">
        <v>13</v>
      </c>
      <c r="H259">
        <v>23000</v>
      </c>
      <c r="I259">
        <v>96.6386554621849</v>
      </c>
      <c r="J259">
        <v>2222689.0756302499</v>
      </c>
      <c r="K259">
        <v>2645000</v>
      </c>
    </row>
    <row r="260" spans="1:11" x14ac:dyDescent="0.25">
      <c r="A260" s="1">
        <v>45676</v>
      </c>
      <c r="B260" t="s">
        <v>146</v>
      </c>
      <c r="C260" t="s">
        <v>133</v>
      </c>
      <c r="D260" t="s">
        <v>134</v>
      </c>
      <c r="E260" t="s">
        <v>27</v>
      </c>
      <c r="F260" t="s">
        <v>14</v>
      </c>
      <c r="G260" t="s">
        <v>15</v>
      </c>
      <c r="H260">
        <v>350</v>
      </c>
      <c r="I260">
        <v>178.99159663865501</v>
      </c>
      <c r="J260">
        <v>0</v>
      </c>
      <c r="K260">
        <v>0</v>
      </c>
    </row>
    <row r="261" spans="1:11" x14ac:dyDescent="0.25">
      <c r="A261" s="1">
        <v>45676</v>
      </c>
      <c r="B261" t="s">
        <v>146</v>
      </c>
      <c r="C261" t="s">
        <v>133</v>
      </c>
      <c r="D261" t="s">
        <v>134</v>
      </c>
      <c r="E261" t="s">
        <v>27</v>
      </c>
      <c r="F261" t="s">
        <v>14</v>
      </c>
      <c r="G261" t="s">
        <v>15</v>
      </c>
      <c r="H261">
        <v>8050</v>
      </c>
      <c r="I261">
        <v>178.99159663865501</v>
      </c>
      <c r="J261">
        <v>1440882.3529411701</v>
      </c>
      <c r="K261">
        <v>1714650</v>
      </c>
    </row>
    <row r="262" spans="1:11" x14ac:dyDescent="0.25">
      <c r="A262" s="1">
        <v>45676</v>
      </c>
      <c r="B262" t="s">
        <v>145</v>
      </c>
      <c r="C262" t="s">
        <v>133</v>
      </c>
      <c r="D262" t="s">
        <v>134</v>
      </c>
      <c r="E262" t="s">
        <v>27</v>
      </c>
      <c r="F262" t="s">
        <v>16</v>
      </c>
      <c r="G262" t="s">
        <v>17</v>
      </c>
      <c r="H262">
        <v>2400</v>
      </c>
      <c r="I262">
        <v>198.31932773109199</v>
      </c>
      <c r="J262">
        <v>475966.38655462099</v>
      </c>
      <c r="K262">
        <v>566400</v>
      </c>
    </row>
    <row r="263" spans="1:11" x14ac:dyDescent="0.25">
      <c r="A263" s="1">
        <v>45676</v>
      </c>
      <c r="B263" t="s">
        <v>145</v>
      </c>
      <c r="C263" t="s">
        <v>133</v>
      </c>
      <c r="D263" t="s">
        <v>134</v>
      </c>
      <c r="E263" t="s">
        <v>27</v>
      </c>
      <c r="F263" t="s">
        <v>18</v>
      </c>
      <c r="G263" t="s">
        <v>19</v>
      </c>
      <c r="H263">
        <v>2400</v>
      </c>
      <c r="I263">
        <v>126.05042016806701</v>
      </c>
      <c r="J263">
        <v>302521.00840336102</v>
      </c>
      <c r="K263">
        <v>360000</v>
      </c>
    </row>
    <row r="264" spans="1:11" x14ac:dyDescent="0.25">
      <c r="A264" s="1">
        <v>45676</v>
      </c>
      <c r="B264" t="s">
        <v>146</v>
      </c>
      <c r="C264" t="s">
        <v>133</v>
      </c>
      <c r="D264" t="s">
        <v>134</v>
      </c>
      <c r="E264" t="s">
        <v>27</v>
      </c>
      <c r="F264" t="s">
        <v>22</v>
      </c>
      <c r="G264" t="s">
        <v>23</v>
      </c>
      <c r="H264">
        <v>16</v>
      </c>
      <c r="I264">
        <v>0</v>
      </c>
      <c r="J264">
        <v>0</v>
      </c>
      <c r="K264">
        <v>0</v>
      </c>
    </row>
    <row r="265" spans="1:11" x14ac:dyDescent="0.25">
      <c r="A265" s="1">
        <v>45676</v>
      </c>
      <c r="B265" t="s">
        <v>145</v>
      </c>
      <c r="C265" t="s">
        <v>133</v>
      </c>
      <c r="D265" t="s">
        <v>134</v>
      </c>
      <c r="E265" t="s">
        <v>27</v>
      </c>
      <c r="F265" t="s">
        <v>24</v>
      </c>
      <c r="G265" t="s">
        <v>25</v>
      </c>
      <c r="H265">
        <v>2400</v>
      </c>
      <c r="I265">
        <v>89.915966386554601</v>
      </c>
      <c r="J265">
        <v>215798.31932773101</v>
      </c>
      <c r="K265">
        <v>256800</v>
      </c>
    </row>
    <row r="266" spans="1:11" x14ac:dyDescent="0.25">
      <c r="A266" s="1">
        <v>45676</v>
      </c>
      <c r="B266" t="s">
        <v>145</v>
      </c>
      <c r="C266" t="s">
        <v>133</v>
      </c>
      <c r="D266" t="s">
        <v>134</v>
      </c>
      <c r="E266" t="s">
        <v>27</v>
      </c>
      <c r="F266" t="s">
        <v>49</v>
      </c>
      <c r="G266" t="s">
        <v>50</v>
      </c>
      <c r="H266">
        <v>2400</v>
      </c>
      <c r="I266">
        <v>98.3193277310924</v>
      </c>
      <c r="J266">
        <v>235966.386554622</v>
      </c>
      <c r="K266">
        <v>280800</v>
      </c>
    </row>
    <row r="267" spans="1:11" x14ac:dyDescent="0.25">
      <c r="A267" s="1">
        <v>45677</v>
      </c>
      <c r="B267" t="s">
        <v>145</v>
      </c>
      <c r="C267" t="s">
        <v>32</v>
      </c>
      <c r="D267" t="s">
        <v>32</v>
      </c>
      <c r="E267" t="s">
        <v>27</v>
      </c>
      <c r="F267" t="s">
        <v>12</v>
      </c>
      <c r="G267" t="s">
        <v>13</v>
      </c>
      <c r="H267">
        <v>400</v>
      </c>
      <c r="I267">
        <v>96.6386554621849</v>
      </c>
      <c r="J267">
        <v>0</v>
      </c>
      <c r="K267">
        <v>0</v>
      </c>
    </row>
    <row r="268" spans="1:11" x14ac:dyDescent="0.25">
      <c r="A268" s="1">
        <v>45677</v>
      </c>
      <c r="B268" t="s">
        <v>145</v>
      </c>
      <c r="C268" t="s">
        <v>32</v>
      </c>
      <c r="D268" t="s">
        <v>32</v>
      </c>
      <c r="E268" t="s">
        <v>27</v>
      </c>
      <c r="F268" t="s">
        <v>12</v>
      </c>
      <c r="G268" t="s">
        <v>13</v>
      </c>
      <c r="H268">
        <v>9200</v>
      </c>
      <c r="I268">
        <v>96.6386554621849</v>
      </c>
      <c r="J268">
        <v>889075.63025210099</v>
      </c>
      <c r="K268">
        <v>1058000</v>
      </c>
    </row>
    <row r="269" spans="1:11" x14ac:dyDescent="0.25">
      <c r="A269" s="1">
        <v>45677</v>
      </c>
      <c r="B269" t="s">
        <v>146</v>
      </c>
      <c r="C269" t="s">
        <v>32</v>
      </c>
      <c r="D269" t="s">
        <v>32</v>
      </c>
      <c r="E269" t="s">
        <v>27</v>
      </c>
      <c r="F269" t="s">
        <v>14</v>
      </c>
      <c r="G269" t="s">
        <v>15</v>
      </c>
      <c r="H269">
        <v>100</v>
      </c>
      <c r="I269">
        <v>178.99159663865501</v>
      </c>
      <c r="J269">
        <v>0</v>
      </c>
      <c r="K269">
        <v>0</v>
      </c>
    </row>
    <row r="270" spans="1:11" x14ac:dyDescent="0.25">
      <c r="A270" s="1">
        <v>45677</v>
      </c>
      <c r="B270" t="s">
        <v>146</v>
      </c>
      <c r="C270" t="s">
        <v>32</v>
      </c>
      <c r="D270" t="s">
        <v>32</v>
      </c>
      <c r="E270" t="s">
        <v>27</v>
      </c>
      <c r="F270" t="s">
        <v>14</v>
      </c>
      <c r="G270" t="s">
        <v>15</v>
      </c>
      <c r="H270">
        <v>2300</v>
      </c>
      <c r="I270">
        <v>178.99159663865501</v>
      </c>
      <c r="J270">
        <v>411680.67226890702</v>
      </c>
      <c r="K270">
        <v>489900</v>
      </c>
    </row>
    <row r="271" spans="1:11" x14ac:dyDescent="0.25">
      <c r="A271" s="1">
        <v>45677</v>
      </c>
      <c r="B271" t="s">
        <v>145</v>
      </c>
      <c r="C271" t="s">
        <v>32</v>
      </c>
      <c r="D271" t="s">
        <v>32</v>
      </c>
      <c r="E271" t="s">
        <v>27</v>
      </c>
      <c r="F271" t="s">
        <v>20</v>
      </c>
      <c r="G271" t="s">
        <v>21</v>
      </c>
      <c r="H271">
        <v>16800</v>
      </c>
      <c r="I271">
        <v>231.09243697478999</v>
      </c>
      <c r="J271">
        <v>3882352.9411764699</v>
      </c>
      <c r="K271">
        <v>4620000</v>
      </c>
    </row>
    <row r="272" spans="1:11" x14ac:dyDescent="0.25">
      <c r="A272" s="1">
        <v>45677</v>
      </c>
      <c r="B272" t="s">
        <v>146</v>
      </c>
      <c r="C272" t="s">
        <v>32</v>
      </c>
      <c r="D272" t="s">
        <v>32</v>
      </c>
      <c r="E272" t="s">
        <v>27</v>
      </c>
      <c r="F272" t="s">
        <v>22</v>
      </c>
      <c r="G272" t="s">
        <v>23</v>
      </c>
      <c r="H272">
        <v>16</v>
      </c>
      <c r="I272">
        <v>0</v>
      </c>
      <c r="J272">
        <v>0</v>
      </c>
      <c r="K272">
        <v>0</v>
      </c>
    </row>
    <row r="273" spans="1:11" x14ac:dyDescent="0.25">
      <c r="A273" s="1">
        <v>45677</v>
      </c>
      <c r="B273" t="s">
        <v>146</v>
      </c>
      <c r="C273" t="s">
        <v>147</v>
      </c>
      <c r="D273" t="s">
        <v>147</v>
      </c>
      <c r="E273" t="s">
        <v>27</v>
      </c>
      <c r="F273" t="s">
        <v>14</v>
      </c>
      <c r="G273" t="s">
        <v>15</v>
      </c>
      <c r="H273">
        <v>700</v>
      </c>
      <c r="I273">
        <v>178.99159663865501</v>
      </c>
      <c r="J273">
        <v>0</v>
      </c>
      <c r="K273">
        <v>0</v>
      </c>
    </row>
    <row r="274" spans="1:11" x14ac:dyDescent="0.25">
      <c r="A274" s="1">
        <v>45677</v>
      </c>
      <c r="B274" t="s">
        <v>146</v>
      </c>
      <c r="C274" t="s">
        <v>147</v>
      </c>
      <c r="D274" t="s">
        <v>147</v>
      </c>
      <c r="E274" t="s">
        <v>27</v>
      </c>
      <c r="F274" t="s">
        <v>14</v>
      </c>
      <c r="G274" t="s">
        <v>15</v>
      </c>
      <c r="H274">
        <v>16100</v>
      </c>
      <c r="I274">
        <v>178.99159663865501</v>
      </c>
      <c r="J274">
        <v>2881764.70588235</v>
      </c>
      <c r="K274">
        <v>3429300</v>
      </c>
    </row>
    <row r="275" spans="1:11" x14ac:dyDescent="0.25">
      <c r="A275" s="1">
        <v>45677</v>
      </c>
      <c r="B275" t="s">
        <v>145</v>
      </c>
      <c r="C275" t="s">
        <v>147</v>
      </c>
      <c r="D275" t="s">
        <v>147</v>
      </c>
      <c r="E275" t="s">
        <v>27</v>
      </c>
      <c r="F275" t="s">
        <v>20</v>
      </c>
      <c r="G275" t="s">
        <v>21</v>
      </c>
      <c r="H275">
        <v>7200</v>
      </c>
      <c r="I275">
        <v>231.09243697478999</v>
      </c>
      <c r="J275">
        <v>1663865.54621849</v>
      </c>
      <c r="K275">
        <v>1980000</v>
      </c>
    </row>
    <row r="276" spans="1:11" x14ac:dyDescent="0.25">
      <c r="A276" s="1">
        <v>45677</v>
      </c>
      <c r="B276" t="s">
        <v>146</v>
      </c>
      <c r="C276" t="s">
        <v>147</v>
      </c>
      <c r="D276" t="s">
        <v>147</v>
      </c>
      <c r="E276" t="s">
        <v>27</v>
      </c>
      <c r="F276" t="s">
        <v>22</v>
      </c>
      <c r="G276" t="s">
        <v>23</v>
      </c>
      <c r="H276">
        <v>16</v>
      </c>
      <c r="I276">
        <v>0</v>
      </c>
      <c r="J276">
        <v>0</v>
      </c>
      <c r="K276">
        <v>0</v>
      </c>
    </row>
    <row r="277" spans="1:11" x14ac:dyDescent="0.25">
      <c r="A277" s="1">
        <v>45677</v>
      </c>
      <c r="B277" t="s">
        <v>146</v>
      </c>
      <c r="C277" t="s">
        <v>47</v>
      </c>
      <c r="D277" t="s">
        <v>48</v>
      </c>
      <c r="E277" t="s">
        <v>27</v>
      </c>
      <c r="F277" t="s">
        <v>22</v>
      </c>
      <c r="G277" t="s">
        <v>23</v>
      </c>
      <c r="H277">
        <v>18</v>
      </c>
      <c r="I277">
        <v>0</v>
      </c>
      <c r="J277">
        <v>0</v>
      </c>
      <c r="K277">
        <v>0</v>
      </c>
    </row>
    <row r="278" spans="1:11" x14ac:dyDescent="0.25">
      <c r="A278" s="1">
        <v>45677</v>
      </c>
      <c r="B278" t="s">
        <v>146</v>
      </c>
      <c r="C278" t="s">
        <v>47</v>
      </c>
      <c r="D278" t="s">
        <v>48</v>
      </c>
      <c r="E278" t="s">
        <v>27</v>
      </c>
      <c r="F278" t="s">
        <v>67</v>
      </c>
      <c r="G278" t="s">
        <v>68</v>
      </c>
      <c r="H278">
        <v>52800</v>
      </c>
      <c r="I278">
        <v>109.243697478992</v>
      </c>
      <c r="J278">
        <v>5768067.22689078</v>
      </c>
      <c r="K278">
        <v>6864000</v>
      </c>
    </row>
    <row r="279" spans="1:11" x14ac:dyDescent="0.25">
      <c r="A279" s="1">
        <v>45677</v>
      </c>
      <c r="B279" t="s">
        <v>106</v>
      </c>
      <c r="C279" t="s">
        <v>148</v>
      </c>
      <c r="D279" t="s">
        <v>88</v>
      </c>
      <c r="E279" t="s">
        <v>88</v>
      </c>
      <c r="F279" t="s">
        <v>78</v>
      </c>
      <c r="G279" t="s">
        <v>79</v>
      </c>
      <c r="H279">
        <v>10000</v>
      </c>
      <c r="I279">
        <v>240.48</v>
      </c>
      <c r="J279">
        <v>2404800</v>
      </c>
      <c r="K279">
        <v>2861712</v>
      </c>
    </row>
    <row r="280" spans="1:11" x14ac:dyDescent="0.25">
      <c r="A280" s="1">
        <v>45677</v>
      </c>
      <c r="B280" t="s">
        <v>106</v>
      </c>
      <c r="C280" t="s">
        <v>148</v>
      </c>
      <c r="D280" t="s">
        <v>88</v>
      </c>
      <c r="E280" t="s">
        <v>88</v>
      </c>
      <c r="F280" t="s">
        <v>78</v>
      </c>
      <c r="G280" t="s">
        <v>79</v>
      </c>
      <c r="H280">
        <v>10000</v>
      </c>
      <c r="I280">
        <v>240.48</v>
      </c>
      <c r="J280">
        <v>2404800</v>
      </c>
      <c r="K280">
        <v>2861712</v>
      </c>
    </row>
    <row r="281" spans="1:11" x14ac:dyDescent="0.25">
      <c r="A281" s="1">
        <v>45677</v>
      </c>
      <c r="B281" t="s">
        <v>106</v>
      </c>
      <c r="C281" t="s">
        <v>139</v>
      </c>
      <c r="D281" t="s">
        <v>94</v>
      </c>
      <c r="E281" t="s">
        <v>94</v>
      </c>
      <c r="F281" t="s">
        <v>78</v>
      </c>
      <c r="G281" t="s">
        <v>79</v>
      </c>
      <c r="H281">
        <v>20000</v>
      </c>
      <c r="I281">
        <v>240.48</v>
      </c>
      <c r="J281">
        <v>4809600</v>
      </c>
      <c r="K281">
        <v>5723424</v>
      </c>
    </row>
    <row r="282" spans="1:11" x14ac:dyDescent="0.25">
      <c r="A282" s="1">
        <v>45677</v>
      </c>
      <c r="B282" t="s">
        <v>145</v>
      </c>
      <c r="C282" t="s">
        <v>56</v>
      </c>
      <c r="D282" t="s">
        <v>57</v>
      </c>
      <c r="E282" t="s">
        <v>27</v>
      </c>
      <c r="F282" t="s">
        <v>18</v>
      </c>
      <c r="G282" t="s">
        <v>19</v>
      </c>
      <c r="H282">
        <v>9600</v>
      </c>
      <c r="I282">
        <v>126.05042016806701</v>
      </c>
      <c r="J282">
        <v>1210084.0336134401</v>
      </c>
      <c r="K282">
        <v>1440000.00000001</v>
      </c>
    </row>
    <row r="283" spans="1:11" x14ac:dyDescent="0.25">
      <c r="A283" s="1">
        <v>45677</v>
      </c>
      <c r="B283" t="s">
        <v>145</v>
      </c>
      <c r="C283" t="s">
        <v>56</v>
      </c>
      <c r="D283" t="s">
        <v>57</v>
      </c>
      <c r="E283" t="s">
        <v>27</v>
      </c>
      <c r="F283" t="s">
        <v>20</v>
      </c>
      <c r="G283" t="s">
        <v>21</v>
      </c>
      <c r="H283">
        <v>4800</v>
      </c>
      <c r="I283">
        <v>231.09243697478999</v>
      </c>
      <c r="J283">
        <v>1109243.6974789901</v>
      </c>
      <c r="K283">
        <v>1320000</v>
      </c>
    </row>
    <row r="284" spans="1:11" x14ac:dyDescent="0.25">
      <c r="A284" s="1">
        <v>45677</v>
      </c>
      <c r="B284" t="s">
        <v>145</v>
      </c>
      <c r="C284" t="s">
        <v>56</v>
      </c>
      <c r="D284" t="s">
        <v>57</v>
      </c>
      <c r="E284" t="s">
        <v>27</v>
      </c>
      <c r="F284" t="s">
        <v>43</v>
      </c>
      <c r="G284" t="s">
        <v>44</v>
      </c>
      <c r="H284">
        <v>2400</v>
      </c>
      <c r="I284">
        <v>214.28571428571399</v>
      </c>
      <c r="J284">
        <v>514285.71428571403</v>
      </c>
      <c r="K284">
        <v>611999.99999998999</v>
      </c>
    </row>
    <row r="285" spans="1:11" x14ac:dyDescent="0.25">
      <c r="A285" s="1">
        <v>45677</v>
      </c>
      <c r="B285" t="s">
        <v>146</v>
      </c>
      <c r="C285" t="s">
        <v>56</v>
      </c>
      <c r="D285" t="s">
        <v>57</v>
      </c>
      <c r="E285" t="s">
        <v>27</v>
      </c>
      <c r="F285" t="s">
        <v>22</v>
      </c>
      <c r="G285" t="s">
        <v>23</v>
      </c>
      <c r="H285">
        <v>8</v>
      </c>
      <c r="I285">
        <v>0</v>
      </c>
      <c r="J285">
        <v>0</v>
      </c>
      <c r="K285">
        <v>0</v>
      </c>
    </row>
    <row r="286" spans="1:11" x14ac:dyDescent="0.25">
      <c r="A286" s="1">
        <v>45677</v>
      </c>
      <c r="B286" t="s">
        <v>145</v>
      </c>
      <c r="C286" t="s">
        <v>37</v>
      </c>
      <c r="D286" t="s">
        <v>38</v>
      </c>
      <c r="E286" t="s">
        <v>27</v>
      </c>
      <c r="F286" t="s">
        <v>16</v>
      </c>
      <c r="G286" t="s">
        <v>17</v>
      </c>
      <c r="H286">
        <v>2400</v>
      </c>
      <c r="I286">
        <v>198.31932773109199</v>
      </c>
      <c r="J286">
        <v>475966.38655462099</v>
      </c>
      <c r="K286">
        <v>566400</v>
      </c>
    </row>
    <row r="287" spans="1:11" x14ac:dyDescent="0.25">
      <c r="A287" s="1">
        <v>45677</v>
      </c>
      <c r="B287" t="s">
        <v>145</v>
      </c>
      <c r="C287" t="s">
        <v>37</v>
      </c>
      <c r="D287" t="s">
        <v>38</v>
      </c>
      <c r="E287" t="s">
        <v>27</v>
      </c>
      <c r="F287" t="s">
        <v>20</v>
      </c>
      <c r="G287" t="s">
        <v>21</v>
      </c>
      <c r="H287">
        <v>9600</v>
      </c>
      <c r="I287">
        <v>231.09243697478999</v>
      </c>
      <c r="J287">
        <v>2218487.3949579801</v>
      </c>
      <c r="K287">
        <v>2640000</v>
      </c>
    </row>
    <row r="288" spans="1:11" x14ac:dyDescent="0.25">
      <c r="A288" s="1">
        <v>45677</v>
      </c>
      <c r="B288" t="s">
        <v>146</v>
      </c>
      <c r="C288" t="s">
        <v>37</v>
      </c>
      <c r="D288" t="s">
        <v>38</v>
      </c>
      <c r="E288" t="s">
        <v>27</v>
      </c>
      <c r="F288" t="s">
        <v>22</v>
      </c>
      <c r="G288" t="s">
        <v>23</v>
      </c>
      <c r="H288">
        <v>8</v>
      </c>
      <c r="I288">
        <v>0</v>
      </c>
      <c r="J288">
        <v>0</v>
      </c>
      <c r="K288">
        <v>0</v>
      </c>
    </row>
    <row r="289" spans="1:11" x14ac:dyDescent="0.25">
      <c r="A289" s="1">
        <v>45677</v>
      </c>
      <c r="B289" t="s">
        <v>145</v>
      </c>
      <c r="C289" t="s">
        <v>39</v>
      </c>
      <c r="D289" t="s">
        <v>40</v>
      </c>
      <c r="E289" t="s">
        <v>27</v>
      </c>
      <c r="F289" t="s">
        <v>16</v>
      </c>
      <c r="G289" t="s">
        <v>17</v>
      </c>
      <c r="H289">
        <v>2400</v>
      </c>
      <c r="I289">
        <v>198.31932773109199</v>
      </c>
      <c r="J289">
        <v>475966.38655462099</v>
      </c>
      <c r="K289">
        <v>566400</v>
      </c>
    </row>
    <row r="290" spans="1:11" x14ac:dyDescent="0.25">
      <c r="A290" s="1">
        <v>45677</v>
      </c>
      <c r="B290" t="s">
        <v>145</v>
      </c>
      <c r="C290" t="s">
        <v>39</v>
      </c>
      <c r="D290" t="s">
        <v>40</v>
      </c>
      <c r="E290" t="s">
        <v>27</v>
      </c>
      <c r="F290" t="s">
        <v>20</v>
      </c>
      <c r="G290" t="s">
        <v>21</v>
      </c>
      <c r="H290">
        <v>14400</v>
      </c>
      <c r="I290">
        <v>231.09243697478999</v>
      </c>
      <c r="J290">
        <v>3327731.09243698</v>
      </c>
      <c r="K290">
        <v>3959999.9999999902</v>
      </c>
    </row>
    <row r="291" spans="1:11" x14ac:dyDescent="0.25">
      <c r="A291" s="1">
        <v>45677</v>
      </c>
      <c r="B291" t="s">
        <v>145</v>
      </c>
      <c r="C291" t="s">
        <v>39</v>
      </c>
      <c r="D291" t="s">
        <v>40</v>
      </c>
      <c r="E291" t="s">
        <v>27</v>
      </c>
      <c r="F291" t="s">
        <v>43</v>
      </c>
      <c r="G291" t="s">
        <v>44</v>
      </c>
      <c r="H291">
        <v>2400</v>
      </c>
      <c r="I291">
        <v>214.28571428571399</v>
      </c>
      <c r="J291">
        <v>514285.71428571403</v>
      </c>
      <c r="K291">
        <v>611999.99999998999</v>
      </c>
    </row>
    <row r="292" spans="1:11" x14ac:dyDescent="0.25">
      <c r="A292" s="1">
        <v>45677</v>
      </c>
      <c r="B292" t="s">
        <v>145</v>
      </c>
      <c r="C292" t="s">
        <v>39</v>
      </c>
      <c r="D292" t="s">
        <v>40</v>
      </c>
      <c r="E292" t="s">
        <v>27</v>
      </c>
      <c r="F292" t="s">
        <v>45</v>
      </c>
      <c r="G292" t="s">
        <v>46</v>
      </c>
      <c r="H292">
        <v>4800</v>
      </c>
      <c r="I292">
        <v>117.64705882352899</v>
      </c>
      <c r="J292">
        <v>564705.88235293899</v>
      </c>
      <c r="K292">
        <v>672000</v>
      </c>
    </row>
    <row r="293" spans="1:11" x14ac:dyDescent="0.25">
      <c r="A293" s="1">
        <v>45677</v>
      </c>
      <c r="B293" t="s">
        <v>146</v>
      </c>
      <c r="C293" t="s">
        <v>39</v>
      </c>
      <c r="D293" t="s">
        <v>40</v>
      </c>
      <c r="E293" t="s">
        <v>27</v>
      </c>
      <c r="F293" t="s">
        <v>22</v>
      </c>
      <c r="G293" t="s">
        <v>23</v>
      </c>
      <c r="H293">
        <v>16</v>
      </c>
      <c r="I293">
        <v>0</v>
      </c>
      <c r="J293">
        <v>0</v>
      </c>
      <c r="K293">
        <v>0</v>
      </c>
    </row>
    <row r="294" spans="1:11" x14ac:dyDescent="0.25">
      <c r="A294" s="1">
        <v>45677</v>
      </c>
      <c r="B294" t="s">
        <v>146</v>
      </c>
      <c r="C294" t="s">
        <v>39</v>
      </c>
      <c r="D294" t="s">
        <v>40</v>
      </c>
      <c r="E294" t="s">
        <v>27</v>
      </c>
      <c r="F294" t="s">
        <v>67</v>
      </c>
      <c r="G294" t="s">
        <v>68</v>
      </c>
      <c r="H294">
        <v>4800</v>
      </c>
      <c r="I294">
        <v>109.243697478992</v>
      </c>
      <c r="J294">
        <v>524369.747899162</v>
      </c>
      <c r="K294">
        <v>624000</v>
      </c>
    </row>
    <row r="295" spans="1:11" x14ac:dyDescent="0.25">
      <c r="A295" s="1">
        <v>45678</v>
      </c>
      <c r="B295" t="s">
        <v>146</v>
      </c>
      <c r="C295" t="s">
        <v>138</v>
      </c>
      <c r="D295" t="s">
        <v>138</v>
      </c>
      <c r="E295" t="s">
        <v>80</v>
      </c>
      <c r="F295" t="s">
        <v>81</v>
      </c>
      <c r="G295" t="s">
        <v>82</v>
      </c>
      <c r="H295">
        <v>4</v>
      </c>
      <c r="I295">
        <v>2500</v>
      </c>
      <c r="J295">
        <v>10000</v>
      </c>
      <c r="K295">
        <v>10000</v>
      </c>
    </row>
    <row r="296" spans="1:11" x14ac:dyDescent="0.25">
      <c r="A296" s="1">
        <v>45678</v>
      </c>
      <c r="B296" t="s">
        <v>146</v>
      </c>
      <c r="C296" t="s">
        <v>138</v>
      </c>
      <c r="D296" t="s">
        <v>138</v>
      </c>
      <c r="E296" t="s">
        <v>80</v>
      </c>
      <c r="F296" t="s">
        <v>119</v>
      </c>
      <c r="G296" t="s">
        <v>120</v>
      </c>
      <c r="H296">
        <v>920</v>
      </c>
      <c r="I296">
        <v>217</v>
      </c>
      <c r="J296">
        <v>199640</v>
      </c>
      <c r="K296">
        <v>237571.6</v>
      </c>
    </row>
    <row r="297" spans="1:11" x14ac:dyDescent="0.25">
      <c r="A297" s="1">
        <v>45678</v>
      </c>
      <c r="B297" t="s">
        <v>145</v>
      </c>
      <c r="C297" t="s">
        <v>149</v>
      </c>
      <c r="D297" t="s">
        <v>150</v>
      </c>
      <c r="E297" t="s">
        <v>27</v>
      </c>
      <c r="F297" t="s">
        <v>12</v>
      </c>
      <c r="G297" t="s">
        <v>13</v>
      </c>
      <c r="H297">
        <v>300</v>
      </c>
      <c r="I297">
        <v>96.6386554621849</v>
      </c>
      <c r="J297">
        <v>0</v>
      </c>
      <c r="K297">
        <v>0</v>
      </c>
    </row>
    <row r="298" spans="1:11" x14ac:dyDescent="0.25">
      <c r="A298" s="1">
        <v>45678</v>
      </c>
      <c r="B298" t="s">
        <v>145</v>
      </c>
      <c r="C298" t="s">
        <v>149</v>
      </c>
      <c r="D298" t="s">
        <v>150</v>
      </c>
      <c r="E298" t="s">
        <v>27</v>
      </c>
      <c r="F298" t="s">
        <v>12</v>
      </c>
      <c r="G298" t="s">
        <v>13</v>
      </c>
      <c r="H298">
        <v>6900</v>
      </c>
      <c r="I298">
        <v>96.6386554621849</v>
      </c>
      <c r="J298">
        <v>666806.72268907598</v>
      </c>
      <c r="K298">
        <v>793500.00000001001</v>
      </c>
    </row>
    <row r="299" spans="1:11" x14ac:dyDescent="0.25">
      <c r="A299" s="1">
        <v>45678</v>
      </c>
      <c r="B299" t="s">
        <v>146</v>
      </c>
      <c r="C299" t="s">
        <v>149</v>
      </c>
      <c r="D299" t="s">
        <v>150</v>
      </c>
      <c r="E299" t="s">
        <v>27</v>
      </c>
      <c r="F299" t="s">
        <v>14</v>
      </c>
      <c r="G299" t="s">
        <v>15</v>
      </c>
      <c r="H299">
        <v>300</v>
      </c>
      <c r="I299">
        <v>178.99159663865501</v>
      </c>
      <c r="J299">
        <v>0</v>
      </c>
      <c r="K299">
        <v>0</v>
      </c>
    </row>
    <row r="300" spans="1:11" x14ac:dyDescent="0.25">
      <c r="A300" s="1">
        <v>45678</v>
      </c>
      <c r="B300" t="s">
        <v>146</v>
      </c>
      <c r="C300" t="s">
        <v>149</v>
      </c>
      <c r="D300" t="s">
        <v>150</v>
      </c>
      <c r="E300" t="s">
        <v>27</v>
      </c>
      <c r="F300" t="s">
        <v>14</v>
      </c>
      <c r="G300" t="s">
        <v>15</v>
      </c>
      <c r="H300">
        <v>6900</v>
      </c>
      <c r="I300">
        <v>178.99159663865501</v>
      </c>
      <c r="J300">
        <v>1235042.0168067201</v>
      </c>
      <c r="K300">
        <v>1469700</v>
      </c>
    </row>
    <row r="301" spans="1:11" x14ac:dyDescent="0.25">
      <c r="A301" s="1">
        <v>45678</v>
      </c>
      <c r="B301" t="s">
        <v>145</v>
      </c>
      <c r="C301" t="s">
        <v>149</v>
      </c>
      <c r="D301" t="s">
        <v>150</v>
      </c>
      <c r="E301" t="s">
        <v>27</v>
      </c>
      <c r="F301" t="s">
        <v>16</v>
      </c>
      <c r="G301" t="s">
        <v>17</v>
      </c>
      <c r="H301">
        <v>3600</v>
      </c>
      <c r="I301">
        <v>198.31932773109199</v>
      </c>
      <c r="J301">
        <v>713949.57983193104</v>
      </c>
      <c r="K301">
        <v>849600</v>
      </c>
    </row>
    <row r="302" spans="1:11" x14ac:dyDescent="0.25">
      <c r="A302" s="1">
        <v>45678</v>
      </c>
      <c r="B302" t="s">
        <v>145</v>
      </c>
      <c r="C302" t="s">
        <v>149</v>
      </c>
      <c r="D302" t="s">
        <v>150</v>
      </c>
      <c r="E302" t="s">
        <v>27</v>
      </c>
      <c r="F302" t="s">
        <v>20</v>
      </c>
      <c r="G302" t="s">
        <v>21</v>
      </c>
      <c r="H302">
        <v>6000</v>
      </c>
      <c r="I302">
        <v>231.09243697478999</v>
      </c>
      <c r="J302">
        <v>1386554.6218487399</v>
      </c>
      <c r="K302">
        <v>1650000</v>
      </c>
    </row>
    <row r="303" spans="1:11" x14ac:dyDescent="0.25">
      <c r="A303" s="1">
        <v>45678</v>
      </c>
      <c r="B303" t="s">
        <v>146</v>
      </c>
      <c r="C303" t="s">
        <v>149</v>
      </c>
      <c r="D303" t="s">
        <v>150</v>
      </c>
      <c r="E303" t="s">
        <v>27</v>
      </c>
      <c r="F303" t="s">
        <v>22</v>
      </c>
      <c r="G303" t="s">
        <v>23</v>
      </c>
      <c r="H303">
        <v>18</v>
      </c>
      <c r="I303">
        <v>0</v>
      </c>
      <c r="J303">
        <v>0</v>
      </c>
      <c r="K303">
        <v>0</v>
      </c>
    </row>
    <row r="304" spans="1:11" x14ac:dyDescent="0.25">
      <c r="A304" s="1">
        <v>45678</v>
      </c>
      <c r="B304" t="s">
        <v>146</v>
      </c>
      <c r="C304" t="s">
        <v>149</v>
      </c>
      <c r="D304" t="s">
        <v>150</v>
      </c>
      <c r="E304" t="s">
        <v>27</v>
      </c>
      <c r="F304" t="s">
        <v>67</v>
      </c>
      <c r="G304" t="s">
        <v>68</v>
      </c>
      <c r="H304">
        <v>7200</v>
      </c>
      <c r="I304">
        <v>109.243697478992</v>
      </c>
      <c r="J304">
        <v>786554.62184874201</v>
      </c>
      <c r="K304">
        <v>936000</v>
      </c>
    </row>
    <row r="305" spans="1:11" x14ac:dyDescent="0.25">
      <c r="A305" s="1">
        <v>45678</v>
      </c>
      <c r="B305" t="s">
        <v>145</v>
      </c>
      <c r="C305" t="s">
        <v>147</v>
      </c>
      <c r="D305" t="s">
        <v>147</v>
      </c>
      <c r="E305" t="s">
        <v>27</v>
      </c>
      <c r="F305" t="s">
        <v>20</v>
      </c>
      <c r="G305" t="s">
        <v>21</v>
      </c>
      <c r="H305">
        <v>24000</v>
      </c>
      <c r="I305">
        <v>231.09243697478999</v>
      </c>
      <c r="J305">
        <v>5546218.4873949597</v>
      </c>
      <c r="K305">
        <v>6600000</v>
      </c>
    </row>
    <row r="306" spans="1:11" x14ac:dyDescent="0.25">
      <c r="A306" s="1">
        <v>45678</v>
      </c>
      <c r="B306" t="s">
        <v>146</v>
      </c>
      <c r="C306" t="s">
        <v>147</v>
      </c>
      <c r="D306" t="s">
        <v>147</v>
      </c>
      <c r="E306" t="s">
        <v>27</v>
      </c>
      <c r="F306" t="s">
        <v>22</v>
      </c>
      <c r="G306" t="s">
        <v>23</v>
      </c>
      <c r="H306">
        <v>16</v>
      </c>
      <c r="I306">
        <v>0</v>
      </c>
      <c r="J306">
        <v>0</v>
      </c>
      <c r="K306">
        <v>0</v>
      </c>
    </row>
    <row r="307" spans="1:11" x14ac:dyDescent="0.25">
      <c r="A307" s="1">
        <v>45678</v>
      </c>
      <c r="B307" t="s">
        <v>106</v>
      </c>
      <c r="C307" t="s">
        <v>92</v>
      </c>
      <c r="D307" t="s">
        <v>93</v>
      </c>
      <c r="E307" t="s">
        <v>94</v>
      </c>
      <c r="F307" t="s">
        <v>78</v>
      </c>
      <c r="G307" t="s">
        <v>79</v>
      </c>
      <c r="H307">
        <v>15000</v>
      </c>
      <c r="I307">
        <v>240.48</v>
      </c>
      <c r="J307">
        <v>3607200</v>
      </c>
      <c r="K307">
        <v>4292568</v>
      </c>
    </row>
    <row r="308" spans="1:11" x14ac:dyDescent="0.25">
      <c r="A308" s="1">
        <v>45678</v>
      </c>
      <c r="B308" t="s">
        <v>106</v>
      </c>
      <c r="C308" t="s">
        <v>92</v>
      </c>
      <c r="D308" t="s">
        <v>93</v>
      </c>
      <c r="E308" t="s">
        <v>94</v>
      </c>
      <c r="F308" t="s">
        <v>78</v>
      </c>
      <c r="G308" t="s">
        <v>79</v>
      </c>
      <c r="H308">
        <v>5000</v>
      </c>
      <c r="I308">
        <v>240.48</v>
      </c>
      <c r="J308">
        <v>1202400</v>
      </c>
      <c r="K308">
        <v>1430856</v>
      </c>
    </row>
    <row r="309" spans="1:11" x14ac:dyDescent="0.25">
      <c r="A309" s="1">
        <v>45678</v>
      </c>
      <c r="B309" t="s">
        <v>145</v>
      </c>
      <c r="C309" t="s">
        <v>29</v>
      </c>
      <c r="D309" t="s">
        <v>30</v>
      </c>
      <c r="E309" t="s">
        <v>27</v>
      </c>
      <c r="F309" t="s">
        <v>20</v>
      </c>
      <c r="G309" t="s">
        <v>21</v>
      </c>
      <c r="H309">
        <v>24000</v>
      </c>
      <c r="I309">
        <v>231.09243697478999</v>
      </c>
      <c r="J309">
        <v>5546218.4873949597</v>
      </c>
      <c r="K309">
        <v>6600000</v>
      </c>
    </row>
    <row r="310" spans="1:11" x14ac:dyDescent="0.25">
      <c r="A310" s="1">
        <v>45678</v>
      </c>
      <c r="B310" t="s">
        <v>146</v>
      </c>
      <c r="C310" t="s">
        <v>29</v>
      </c>
      <c r="D310" t="s">
        <v>30</v>
      </c>
      <c r="E310" t="s">
        <v>27</v>
      </c>
      <c r="F310" t="s">
        <v>22</v>
      </c>
      <c r="G310" t="s">
        <v>23</v>
      </c>
      <c r="H310">
        <v>16</v>
      </c>
      <c r="I310">
        <v>0</v>
      </c>
      <c r="J310">
        <v>0</v>
      </c>
      <c r="K310">
        <v>0</v>
      </c>
    </row>
    <row r="311" spans="1:11" x14ac:dyDescent="0.25">
      <c r="A311" s="1">
        <v>45678</v>
      </c>
      <c r="B311" t="s">
        <v>145</v>
      </c>
      <c r="C311" t="s">
        <v>151</v>
      </c>
      <c r="D311" t="s">
        <v>152</v>
      </c>
      <c r="E311" t="s">
        <v>27</v>
      </c>
      <c r="F311" t="s">
        <v>12</v>
      </c>
      <c r="G311" t="s">
        <v>13</v>
      </c>
      <c r="H311">
        <v>200</v>
      </c>
      <c r="I311">
        <v>96.6386554621849</v>
      </c>
      <c r="J311">
        <v>0</v>
      </c>
      <c r="K311">
        <v>0</v>
      </c>
    </row>
    <row r="312" spans="1:11" x14ac:dyDescent="0.25">
      <c r="A312" s="1">
        <v>45678</v>
      </c>
      <c r="B312" t="s">
        <v>145</v>
      </c>
      <c r="C312" t="s">
        <v>151</v>
      </c>
      <c r="D312" t="s">
        <v>152</v>
      </c>
      <c r="E312" t="s">
        <v>27</v>
      </c>
      <c r="F312" t="s">
        <v>12</v>
      </c>
      <c r="G312" t="s">
        <v>13</v>
      </c>
      <c r="H312">
        <v>4600</v>
      </c>
      <c r="I312">
        <v>96.6386554621849</v>
      </c>
      <c r="J312">
        <v>444537.81512605102</v>
      </c>
      <c r="K312">
        <v>529000</v>
      </c>
    </row>
    <row r="313" spans="1:11" x14ac:dyDescent="0.25">
      <c r="A313" s="1">
        <v>45678</v>
      </c>
      <c r="B313" t="s">
        <v>146</v>
      </c>
      <c r="C313" t="s">
        <v>151</v>
      </c>
      <c r="D313" t="s">
        <v>152</v>
      </c>
      <c r="E313" t="s">
        <v>27</v>
      </c>
      <c r="F313" t="s">
        <v>14</v>
      </c>
      <c r="G313" t="s">
        <v>15</v>
      </c>
      <c r="H313">
        <v>150</v>
      </c>
      <c r="I313">
        <v>178.99159663865501</v>
      </c>
      <c r="J313">
        <v>0</v>
      </c>
      <c r="K313">
        <v>0</v>
      </c>
    </row>
    <row r="314" spans="1:11" x14ac:dyDescent="0.25">
      <c r="A314" s="1">
        <v>45678</v>
      </c>
      <c r="B314" t="s">
        <v>146</v>
      </c>
      <c r="C314" t="s">
        <v>151</v>
      </c>
      <c r="D314" t="s">
        <v>152</v>
      </c>
      <c r="E314" t="s">
        <v>27</v>
      </c>
      <c r="F314" t="s">
        <v>14</v>
      </c>
      <c r="G314" t="s">
        <v>15</v>
      </c>
      <c r="H314">
        <v>3450</v>
      </c>
      <c r="I314">
        <v>178.99159663865501</v>
      </c>
      <c r="J314">
        <v>617521.00840336003</v>
      </c>
      <c r="K314">
        <v>734850</v>
      </c>
    </row>
    <row r="315" spans="1:11" x14ac:dyDescent="0.25">
      <c r="A315" s="1">
        <v>45678</v>
      </c>
      <c r="B315" t="s">
        <v>145</v>
      </c>
      <c r="C315" t="s">
        <v>151</v>
      </c>
      <c r="D315" t="s">
        <v>152</v>
      </c>
      <c r="E315" t="s">
        <v>27</v>
      </c>
      <c r="F315" t="s">
        <v>18</v>
      </c>
      <c r="G315" t="s">
        <v>19</v>
      </c>
      <c r="H315">
        <v>7200</v>
      </c>
      <c r="I315">
        <v>126.05042016806701</v>
      </c>
      <c r="J315">
        <v>907563.02521008195</v>
      </c>
      <c r="K315">
        <v>1080000</v>
      </c>
    </row>
    <row r="316" spans="1:11" x14ac:dyDescent="0.25">
      <c r="A316" s="1">
        <v>45678</v>
      </c>
      <c r="B316" t="s">
        <v>145</v>
      </c>
      <c r="C316" t="s">
        <v>151</v>
      </c>
      <c r="D316" t="s">
        <v>152</v>
      </c>
      <c r="E316" t="s">
        <v>27</v>
      </c>
      <c r="F316" t="s">
        <v>45</v>
      </c>
      <c r="G316" t="s">
        <v>46</v>
      </c>
      <c r="H316">
        <v>9600</v>
      </c>
      <c r="I316">
        <v>117.64705882352899</v>
      </c>
      <c r="J316">
        <v>1129411.7647058801</v>
      </c>
      <c r="K316">
        <v>1344000</v>
      </c>
    </row>
    <row r="317" spans="1:11" x14ac:dyDescent="0.25">
      <c r="A317" s="1">
        <v>45678</v>
      </c>
      <c r="B317" t="s">
        <v>146</v>
      </c>
      <c r="C317" t="s">
        <v>151</v>
      </c>
      <c r="D317" t="s">
        <v>152</v>
      </c>
      <c r="E317" t="s">
        <v>27</v>
      </c>
      <c r="F317" t="s">
        <v>22</v>
      </c>
      <c r="G317" t="s">
        <v>23</v>
      </c>
      <c r="H317">
        <v>18</v>
      </c>
      <c r="I317">
        <v>0</v>
      </c>
      <c r="J317">
        <v>0</v>
      </c>
      <c r="K317">
        <v>0</v>
      </c>
    </row>
    <row r="318" spans="1:11" x14ac:dyDescent="0.25">
      <c r="A318" s="1">
        <v>45678</v>
      </c>
      <c r="B318" t="s">
        <v>146</v>
      </c>
      <c r="C318" t="s">
        <v>151</v>
      </c>
      <c r="D318" t="s">
        <v>152</v>
      </c>
      <c r="E318" t="s">
        <v>27</v>
      </c>
      <c r="F318" t="s">
        <v>67</v>
      </c>
      <c r="G318" t="s">
        <v>68</v>
      </c>
      <c r="H318">
        <v>19200</v>
      </c>
      <c r="I318">
        <v>109.243697478992</v>
      </c>
      <c r="J318">
        <v>2097478.9915966499</v>
      </c>
      <c r="K318">
        <v>2496000</v>
      </c>
    </row>
    <row r="319" spans="1:11" x14ac:dyDescent="0.25">
      <c r="A319" s="1">
        <v>45678</v>
      </c>
      <c r="B319" t="s">
        <v>145</v>
      </c>
      <c r="C319" t="s">
        <v>69</v>
      </c>
      <c r="D319" t="s">
        <v>26</v>
      </c>
      <c r="E319" t="s">
        <v>27</v>
      </c>
      <c r="F319" t="s">
        <v>12</v>
      </c>
      <c r="G319" t="s">
        <v>13</v>
      </c>
      <c r="H319">
        <v>200</v>
      </c>
      <c r="I319">
        <v>96.6386554621849</v>
      </c>
      <c r="J319">
        <v>0</v>
      </c>
      <c r="K319">
        <v>0</v>
      </c>
    </row>
    <row r="320" spans="1:11" x14ac:dyDescent="0.25">
      <c r="A320" s="1">
        <v>45678</v>
      </c>
      <c r="B320" t="s">
        <v>145</v>
      </c>
      <c r="C320" t="s">
        <v>69</v>
      </c>
      <c r="D320" t="s">
        <v>26</v>
      </c>
      <c r="E320" t="s">
        <v>27</v>
      </c>
      <c r="F320" t="s">
        <v>12</v>
      </c>
      <c r="G320" t="s">
        <v>13</v>
      </c>
      <c r="H320">
        <v>4600</v>
      </c>
      <c r="I320">
        <v>96.6386554621849</v>
      </c>
      <c r="J320">
        <v>444537.81512605102</v>
      </c>
      <c r="K320">
        <v>529000</v>
      </c>
    </row>
    <row r="321" spans="1:11" x14ac:dyDescent="0.25">
      <c r="A321" s="1">
        <v>45678</v>
      </c>
      <c r="B321" t="s">
        <v>145</v>
      </c>
      <c r="C321" t="s">
        <v>69</v>
      </c>
      <c r="D321" t="s">
        <v>26</v>
      </c>
      <c r="E321" t="s">
        <v>27</v>
      </c>
      <c r="F321" t="s">
        <v>18</v>
      </c>
      <c r="G321" t="s">
        <v>19</v>
      </c>
      <c r="H321">
        <v>21600</v>
      </c>
      <c r="I321">
        <v>126.05042016806701</v>
      </c>
      <c r="J321">
        <v>2722689.0756302499</v>
      </c>
      <c r="K321">
        <v>3240000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CE8ED85-CB8E-416D-8397-603A69B48301}">
  <ds:schemaRefs/>
</ds:datastoreItem>
</file>

<file path=customXml/itemProps2.xml><?xml version="1.0" encoding="utf-8"?>
<ds:datastoreItem xmlns:ds="http://schemas.openxmlformats.org/officeDocument/2006/customXml" ds:itemID="{82BB634B-E98C-447F-86E8-266B245FC21B}">
  <ds:schemaRefs>
    <ds:schemaRef ds:uri="http://schemas.microsoft.com/DataMashup"/>
  </ds:schemaRefs>
</ds:datastoreItem>
</file>

<file path=customXml/itemProps3.xml><?xml version="1.0" encoding="utf-8"?>
<ds:datastoreItem xmlns:ds="http://schemas.openxmlformats.org/officeDocument/2006/customXml" ds:itemID="{B9AFF034-4564-41DD-AA3D-13A4E27A535E}">
  <ds:schemaRefs/>
</ds:datastoreItem>
</file>

<file path=customXml/itemProps4.xml><?xml version="1.0" encoding="utf-8"?>
<ds:datastoreItem xmlns:ds="http://schemas.openxmlformats.org/officeDocument/2006/customXml" ds:itemID="{0ED2E343-58C6-48A1-BF72-EA506BC97F64}">
  <ds:schemaRefs/>
</ds:datastoreItem>
</file>

<file path=customXml/itemProps5.xml><?xml version="1.0" encoding="utf-8"?>
<ds:datastoreItem xmlns:ds="http://schemas.openxmlformats.org/officeDocument/2006/customXml" ds:itemID="{BBA3585E-1690-4483-9565-0ADEC4BF22C4}">
  <ds:schemaRefs/>
</ds:datastoreItem>
</file>

<file path=customXml/itemProps6.xml><?xml version="1.0" encoding="utf-8"?>
<ds:datastoreItem xmlns:ds="http://schemas.openxmlformats.org/officeDocument/2006/customXml" ds:itemID="{C1BE8B6F-5860-4CFD-A0D2-80B321B141FD}">
  <ds:schemaRefs/>
</ds:datastoreItem>
</file>

<file path=customXml/itemProps7.xml><?xml version="1.0" encoding="utf-8"?>
<ds:datastoreItem xmlns:ds="http://schemas.openxmlformats.org/officeDocument/2006/customXml" ds:itemID="{23C24B55-8FCE-496D-BE1D-547A9DCAA4E6}">
  <ds:schemaRefs/>
</ds:datastoreItem>
</file>

<file path=customXml/itemProps8.xml><?xml version="1.0" encoding="utf-8"?>
<ds:datastoreItem xmlns:ds="http://schemas.openxmlformats.org/officeDocument/2006/customXml" ds:itemID="{7852A149-B81C-4E5A-96B5-9D334E8B1375}">
  <ds:schemaRefs/>
</ds:datastoreItem>
</file>

<file path=customXml/itemProps9.xml><?xml version="1.0" encoding="utf-8"?>
<ds:datastoreItem xmlns:ds="http://schemas.openxmlformats.org/officeDocument/2006/customXml" ds:itemID="{73F73B78-AEE3-489A-B59F-332BF8A38423}">
  <ds:schemaRefs/>
</ds:datastoreItem>
</file>

<file path=customXml/itemProps10.xml><?xml version="1.0" encoding="utf-8"?>
<ds:datastoreItem xmlns:ds="http://schemas.openxmlformats.org/officeDocument/2006/customXml" ds:itemID="{F40695CA-922D-40A7-A8BC-3D1E01BE81B9}">
  <ds:schemaRefs/>
</ds:datastoreItem>
</file>

<file path=customXml/itemProps11.xml><?xml version="1.0" encoding="utf-8"?>
<ds:datastoreItem xmlns:ds="http://schemas.openxmlformats.org/officeDocument/2006/customXml" ds:itemID="{CE161759-4236-4F3D-B753-4E4323A7BC78}">
  <ds:schemaRefs/>
</ds:datastoreItem>
</file>

<file path=customXml/itemProps12.xml><?xml version="1.0" encoding="utf-8"?>
<ds:datastoreItem xmlns:ds="http://schemas.openxmlformats.org/officeDocument/2006/customXml" ds:itemID="{D29C3B10-24B0-424C-9D29-F87759C986A4}">
  <ds:schemaRefs/>
</ds:datastoreItem>
</file>

<file path=customXml/itemProps13.xml><?xml version="1.0" encoding="utf-8"?>
<ds:datastoreItem xmlns:ds="http://schemas.openxmlformats.org/officeDocument/2006/customXml" ds:itemID="{AA676A14-94F5-4E13-BFE4-5C748482622D}">
  <ds:schemaRefs/>
</ds:datastoreItem>
</file>

<file path=customXml/itemProps14.xml><?xml version="1.0" encoding="utf-8"?>
<ds:datastoreItem xmlns:ds="http://schemas.openxmlformats.org/officeDocument/2006/customXml" ds:itemID="{7EF2B053-6E13-4CE1-A8A2-14CB5091445D}">
  <ds:schemaRefs/>
</ds:datastoreItem>
</file>

<file path=customXml/itemProps15.xml><?xml version="1.0" encoding="utf-8"?>
<ds:datastoreItem xmlns:ds="http://schemas.openxmlformats.org/officeDocument/2006/customXml" ds:itemID="{05A12918-1356-491B-8A68-44BFF2C02B07}">
  <ds:schemaRefs/>
</ds:datastoreItem>
</file>

<file path=customXml/itemProps16.xml><?xml version="1.0" encoding="utf-8"?>
<ds:datastoreItem xmlns:ds="http://schemas.openxmlformats.org/officeDocument/2006/customXml" ds:itemID="{68D8FF85-126D-4A0C-93F5-BB6C4B41CC4A}">
  <ds:schemaRefs/>
</ds:datastoreItem>
</file>

<file path=customXml/itemProps17.xml><?xml version="1.0" encoding="utf-8"?>
<ds:datastoreItem xmlns:ds="http://schemas.openxmlformats.org/officeDocument/2006/customXml" ds:itemID="{4EC8EB9F-574F-4042-A5D1-453E1EF3F6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Dashboard</vt:lpstr>
      <vt:lpstr>Croisement Dynamic Vent</vt:lpstr>
      <vt:lpstr>Vent JAN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BEN KHALED</dc:creator>
  <cp:lastModifiedBy>ADMIN</cp:lastModifiedBy>
  <dcterms:created xsi:type="dcterms:W3CDTF">2015-06-05T18:17:20Z</dcterms:created>
  <dcterms:modified xsi:type="dcterms:W3CDTF">2026-01-05T17:57:36Z</dcterms:modified>
</cp:coreProperties>
</file>