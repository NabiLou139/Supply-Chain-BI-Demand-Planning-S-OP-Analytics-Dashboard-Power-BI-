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GI\Data Science Portfolio\Projects\Supply Chain BI\Tableux de bord Supply Chain\"/>
    </mc:Choice>
  </mc:AlternateContent>
  <xr:revisionPtr revIDLastSave="0" documentId="13_ncr:1_{3C22DA62-457E-4F8B-A4FB-4D83D5808C3D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Fourniture Incorporable" sheetId="20" r:id="rId1"/>
    <sheet name="Stock QTD" sheetId="21" r:id="rId2"/>
    <sheet name="PF" sheetId="16" r:id="rId3"/>
    <sheet name="Var PF " sheetId="6" r:id="rId4"/>
    <sheet name="CAISSE" sheetId="18" r:id="rId5"/>
    <sheet name="EMBALLAGE BOITE" sheetId="17" r:id="rId6"/>
    <sheet name="Fact Tabel" sheetId="25" r:id="rId7"/>
    <sheet name="SEMI FINI" sheetId="24" r:id="rId8"/>
  </sheets>
  <definedNames>
    <definedName name="_xlnm._FilterDatabase" localSheetId="6" hidden="1">'Fact Tabel'!$A$1:$I$53</definedName>
    <definedName name="_xlnm._FilterDatabase" localSheetId="3" hidden="1">'Var PF '!$A$1:$G$1</definedName>
    <definedName name="_xlcn.WorksheetConnection_AnalyseStockCONS.xlsxCAISSE1" hidden="1">CAISSE[]</definedName>
    <definedName name="_xlcn.WorksheetConnection_AnalyseStockCONS.xlsxPF1" hidden="1">PF[]</definedName>
    <definedName name="_xlcn.WorksheetConnection_AnalyseStockCONS.xlsxProduitFini1" hidden="1">Central</definedName>
    <definedName name="ExternalData_1" localSheetId="0" hidden="1">'Fourniture Incorporable'!$A$1:$AX$26</definedName>
    <definedName name="ExternalData_1" localSheetId="2" hidden="1">PF!$A$1:$K$28</definedName>
    <definedName name="ExternalData_2" localSheetId="5" hidden="1">'EMBALLAGE BOITE'!$A$1:$K$28</definedName>
    <definedName name="ExternalData_3" localSheetId="4" hidden="1">'CAISSE'!$A$1:$I$30</definedName>
    <definedName name="ExternalData_3" localSheetId="7" hidden="1">'SEMI FINI'!$A$1:$S$39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itFini" name="CENTRAL" connection="WorksheetConnection_Analyse Stock CONS.xlsx!ProduitFini"/>
          <x15:modelTable id="PF" name="PF" connection="WorksheetConnection_Analyse Stock CONS.xlsx!PF"/>
          <x15:modelTable id="CAISSE" name="CAISSE" connection="WorksheetConnection_Analyse Stock CONS.xlsx!CAISSE"/>
        </x15:modelTables>
        <x15:modelRelationships>
          <x15:modelRelationship fromTable="PF" fromColumn="Code" toTable="CENTRAL" toColumn="Code"/>
        </x15:modelRelationships>
      </x15:dataModel>
    </ext>
  </extLst>
</workbook>
</file>

<file path=xl/calcChain.xml><?xml version="1.0" encoding="utf-8"?>
<calcChain xmlns="http://schemas.openxmlformats.org/spreadsheetml/2006/main">
  <c r="I13" i="25" l="1"/>
  <c r="I10" i="25"/>
  <c r="I26" i="25"/>
  <c r="I25" i="25"/>
  <c r="I24" i="25"/>
  <c r="I23" i="25"/>
  <c r="I22" i="25"/>
  <c r="I21" i="25"/>
  <c r="I20" i="25"/>
  <c r="I15" i="25"/>
  <c r="I11" i="25"/>
  <c r="I9" i="25"/>
  <c r="I8" i="25"/>
  <c r="I7" i="25"/>
  <c r="I6" i="25"/>
  <c r="I4" i="25"/>
  <c r="I2" i="25"/>
  <c r="I27" i="25"/>
  <c r="I19" i="25"/>
  <c r="I3" i="25"/>
  <c r="I5" i="25"/>
  <c r="I12" i="25"/>
  <c r="I14" i="25"/>
  <c r="I18" i="25"/>
  <c r="I17" i="25"/>
  <c r="I16" i="25"/>
  <c r="J2" i="18" l="1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N2" i="17" l="1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T10" i="17" l="1"/>
  <c r="S2" i="17"/>
  <c r="T2" i="17" s="1"/>
  <c r="O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" i="17"/>
  <c r="S3" i="17" l="1"/>
  <c r="T3" i="17" s="1"/>
  <c r="S11" i="17"/>
  <c r="T11" i="17" s="1"/>
  <c r="S12" i="17" l="1"/>
  <c r="S14" i="17" s="1"/>
  <c r="S4" i="17"/>
  <c r="S5" i="17" s="1"/>
  <c r="S6" i="17" l="1"/>
  <c r="S13" i="17"/>
  <c r="T4" i="17"/>
  <c r="S7" i="17"/>
  <c r="T12" i="17"/>
  <c r="S15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A809B-11F6-4348-B60A-561F6B6A095C}" keepAlive="1" name="Query - BOITE" description="Connection to the 'BOITE' query in the workbook." type="5" refreshedVersion="8" background="1" saveData="1">
    <dbPr connection="Provider=Microsoft.Mashup.OleDb.1;Data Source=$Workbook$;Location=BOITE;Extended Properties=&quot;&quot;" command="SELECT * FROM [BOITE]"/>
  </connection>
  <connection id="2" xr16:uid="{96E77EEA-EF68-4B22-9E3E-836A33AC4D22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  <connection id="3" xr16:uid="{F1D0F9B8-D788-4077-B55C-DF77177462ED}" keepAlive="1" name="Query - Sheet (2)" description="Connection to the 'Sheet (2)' query in the workbook." type="5" refreshedVersion="8" background="1" saveData="1">
    <dbPr connection="Provider=Microsoft.Mashup.OleDb.1;Data Source=$Workbook$;Location=&quot;Sheet (2)&quot;;Extended Properties=&quot;&quot;" command="SELECT * FROM [Sheet (2)]"/>
  </connection>
  <connection id="4" xr16:uid="{439E9D1D-2A55-424C-9F47-45F95AEA1550}" keepAlive="1" name="Query - Sheet (3)" description="Connection to the 'Sheet (3)' query in the workbook." type="5" refreshedVersion="8" background="1" saveData="1">
    <dbPr connection="Provider=Microsoft.Mashup.OleDb.1;Data Source=$Workbook$;Location=&quot;Sheet (3)&quot;;Extended Properties=&quot;&quot;" command="SELECT * FROM [Sheet (3)]"/>
  </connection>
  <connection id="5" xr16:uid="{1E0F7764-0F02-4C76-BD7D-A0CAE7D65114}" keepAlive="1" name="Query - Sheet (4)" description="Connection to the 'Sheet (4)' query in the workbook." type="5" refreshedVersion="8" background="1" saveData="1">
    <dbPr connection="Provider=Microsoft.Mashup.OleDb.1;Data Source=$Workbook$;Location=&quot;Sheet (4)&quot;;Extended Properties=&quot;&quot;" command="SELECT * FROM [Sheet (4)]"/>
  </connection>
  <connection id="6" xr16:uid="{B2FF9990-78AC-427B-9C3F-268524E37B08}" keepAlive="1" name="Query - Sheet (5)" description="Connection to the 'Sheet (5)' query in the workbook." type="5" refreshedVersion="8" background="1" saveData="1">
    <dbPr connection="Provider=Microsoft.Mashup.OleDb.1;Data Source=$Workbook$;Location=&quot;Sheet (5)&quot;;Extended Properties=&quot;&quot;" command="SELECT * FROM [Sheet (5)]"/>
  </connection>
  <connection id="7" xr16:uid="{40631137-3F74-40F5-ABD5-D57FA628F16A}" keepAlive="1" name="Query - Sheet (6)" description="Connection to the 'Sheet (6)' query in the workbook." type="5" refreshedVersion="8" background="1" saveData="1">
    <dbPr connection="Provider=Microsoft.Mashup.OleDb.1;Data Source=$Workbook$;Location=&quot;Sheet (6)&quot;;Extended Properties=&quot;&quot;" command="SELECT * FROM [Sheet (6)]"/>
  </connection>
  <connection id="8" xr16:uid="{10018844-063E-4D53-A4B8-8770EF486F05}" keepAlive="1" name="Query - Sheet (7)" description="Connection to the 'Sheet (7)' query in the workbook." type="5" refreshedVersion="8" background="1" saveData="1">
    <dbPr connection="Provider=Microsoft.Mashup.OleDb.1;Data Source=$Workbook$;Location=&quot;Sheet (7)&quot;;Extended Properties=&quot;&quot;" command="SELECT * FROM [Sheet (7)]"/>
  </connection>
  <connection id="9" xr16:uid="{A3CA80E7-6293-49CD-A867-EF83249C6876}" keepAlive="1" name="Query - Sheet (8)" description="Connection to the 'Sheet (8)' query in the workbook." type="5" refreshedVersion="8" background="1" saveData="1">
    <dbPr connection="Provider=Microsoft.Mashup.OleDb.1;Data Source=$Workbook$;Location=&quot;Sheet (8)&quot;;Extended Properties=&quot;&quot;" command="SELECT * FROM [Sheet (8)]"/>
  </connection>
  <connection id="10" xr16:uid="{A02E3FFA-CA13-414D-A905-CC72B4ABB958}" keepAlive="1" name="Query - Sheet (9)" description="Connection to the 'Sheet (9)' query in the workbook." type="5" refreshedVersion="8" background="1" saveData="1">
    <dbPr connection="Provider=Microsoft.Mashup.OleDb.1;Data Source=$Workbook$;Location=&quot;Sheet (9)&quot;;Extended Properties=&quot;&quot;" command="SELECT * FROM [Sheet (9)]"/>
  </connection>
  <connection id="11" xr16:uid="{6AB8090C-80AA-4FFE-8C5B-99F7F6F262D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F3559432-4957-420E-9E9A-2D9B72F9ED95}" name="WorksheetConnection_Analyse Stock CONS.xlsx!CAISSE" type="102" refreshedVersion="8" minRefreshableVersion="5">
    <extLst>
      <ext xmlns:x15="http://schemas.microsoft.com/office/spreadsheetml/2010/11/main" uri="{DE250136-89BD-433C-8126-D09CA5730AF9}">
        <x15:connection id="CAISSE">
          <x15:rangePr sourceName="_xlcn.WorksheetConnection_AnalyseStockCONS.xlsxCAISSE1"/>
        </x15:connection>
      </ext>
    </extLst>
  </connection>
  <connection id="13" xr16:uid="{8B31CC5C-59DB-47DD-99A2-FA211C29B359}" name="WorksheetConnection_Analyse Stock CONS.xlsx!PF" type="102" refreshedVersion="8" minRefreshableVersion="5">
    <extLst>
      <ext xmlns:x15="http://schemas.microsoft.com/office/spreadsheetml/2010/11/main" uri="{DE250136-89BD-433C-8126-D09CA5730AF9}">
        <x15:connection id="PF">
          <x15:rangePr sourceName="_xlcn.WorksheetConnection_AnalyseStockCONS.xlsxPF1"/>
        </x15:connection>
      </ext>
    </extLst>
  </connection>
  <connection id="14" xr16:uid="{87C574E0-8705-467A-ADAA-74B8AAE15829}" name="WorksheetConnection_Analyse Stock CONS.xlsx!ProduitFini" type="102" refreshedVersion="8" minRefreshableVersion="5">
    <extLst>
      <ext xmlns:x15="http://schemas.microsoft.com/office/spreadsheetml/2010/11/main" uri="{DE250136-89BD-433C-8126-D09CA5730AF9}">
        <x15:connection id="ProduitFini">
          <x15:rangePr sourceName="_xlcn.WorksheetConnection_AnalyseStockCONS.xlsxProduitFini1"/>
        </x15:connection>
      </ext>
    </extLst>
  </connection>
</connections>
</file>

<file path=xl/sharedStrings.xml><?xml version="1.0" encoding="utf-8"?>
<sst xmlns="http://schemas.openxmlformats.org/spreadsheetml/2006/main" count="2206" uniqueCount="407">
  <si>
    <t>Famille</t>
  </si>
  <si>
    <t>Taille Produit</t>
  </si>
  <si>
    <t>Code</t>
  </si>
  <si>
    <t>Libellé</t>
  </si>
  <si>
    <t>PMP</t>
  </si>
  <si>
    <t>MC CONSERVERIE</t>
  </si>
  <si>
    <t>BENI TAMOU</t>
  </si>
  <si>
    <t>PPRODUIT FINI C</t>
  </si>
  <si>
    <t>PFCT001</t>
  </si>
  <si>
    <t>CONCENTRÉ TOMATE NOUR 22% 380 GR</t>
  </si>
  <si>
    <t>PFCT002</t>
  </si>
  <si>
    <t>CONCENTRÉ TOMATE NOUR 22% 760 GR</t>
  </si>
  <si>
    <t>PFCC003</t>
  </si>
  <si>
    <t>CONFITURE ABRICOT 400 GR</t>
  </si>
  <si>
    <t>PFCC004</t>
  </si>
  <si>
    <t>CONFITURE ABRICOT 800 GR</t>
  </si>
  <si>
    <t>PFCC005</t>
  </si>
  <si>
    <t>CONFITURE D'ORANGE 400 GR</t>
  </si>
  <si>
    <t>PFCC006</t>
  </si>
  <si>
    <t>CONFITURE FIGUE 400 GR</t>
  </si>
  <si>
    <t>PFCC007</t>
  </si>
  <si>
    <t>CONFITURE FRAISE 400 GR</t>
  </si>
  <si>
    <t>PFCC008</t>
  </si>
  <si>
    <t>CONFITURE POMME 400 GR</t>
  </si>
  <si>
    <t>PFCT009</t>
  </si>
  <si>
    <t>DOUBLE CONCENTRÉ TOMATE 28% 135 GR</t>
  </si>
  <si>
    <t>PFCT010</t>
  </si>
  <si>
    <t>DOUBLE CONCENTRÉ TOMATE 28% VERT 400 GR_x000D_</t>
  </si>
  <si>
    <t>PFCT011</t>
  </si>
  <si>
    <t>DOUBLE CONCENTRÉ TOMATE 28% 400 GR</t>
  </si>
  <si>
    <t>PFCT012</t>
  </si>
  <si>
    <t>DOUBLE CONCENTRÉ TOMATE 28% 800 GR</t>
  </si>
  <si>
    <t>PFCH013</t>
  </si>
  <si>
    <t>HARISSA 135 GR</t>
  </si>
  <si>
    <t>PFCH014</t>
  </si>
  <si>
    <t>HARISSA 760 GR</t>
  </si>
  <si>
    <t>PFCH015</t>
  </si>
  <si>
    <t>HARISSA 380 GR</t>
  </si>
  <si>
    <t>PPRODUIT FINI MDN</t>
  </si>
  <si>
    <t>PFMC017</t>
  </si>
  <si>
    <t>CONFITURE ABRICOT 4/4</t>
  </si>
  <si>
    <t>PFMT016</t>
  </si>
  <si>
    <t>DOUBLE CONCENTRE DE TOMATE 4/4</t>
  </si>
  <si>
    <t>PFMC018</t>
  </si>
  <si>
    <t>CONFITURE POMME 4/4</t>
  </si>
  <si>
    <t>PFMC019</t>
  </si>
  <si>
    <t>CONFITURE D'ORANGE 4/4</t>
  </si>
  <si>
    <t>PFCC016</t>
  </si>
  <si>
    <t>CONFITURE EXTRA PECHE 400 GR</t>
  </si>
  <si>
    <t>PFCC017</t>
  </si>
  <si>
    <t>CONFITURE EXTRA FRAISE 400 GR</t>
  </si>
  <si>
    <t>PFCC018</t>
  </si>
  <si>
    <t>CONFITURE EXTRA POMME 400 GR</t>
  </si>
  <si>
    <t>PFCC020</t>
  </si>
  <si>
    <t>CONFITURE EXTRA D'ORANGE 400 GR</t>
  </si>
  <si>
    <t>PFCC022</t>
  </si>
  <si>
    <t>CONFITURE EXTRA ABRICOT 400 GR</t>
  </si>
  <si>
    <t>PFCC023</t>
  </si>
  <si>
    <t>Confiture Extra Trois Agrumes 400g</t>
  </si>
  <si>
    <t>PFCC019</t>
  </si>
  <si>
    <t>CONFITURE EXTRA FIGUE 400 GR</t>
  </si>
  <si>
    <t>PFCC021</t>
  </si>
  <si>
    <t>CONFITURE EXTRA ABRICOT 800 GR</t>
  </si>
  <si>
    <t>Qté Global</t>
  </si>
  <si>
    <t>TOMATE</t>
  </si>
  <si>
    <t>PRODUIT EMBALLAGE</t>
  </si>
  <si>
    <t>CONFITURE</t>
  </si>
  <si>
    <t>EMBC001</t>
  </si>
  <si>
    <t>BOITE CONFITURE ABRICOT 400 GR</t>
  </si>
  <si>
    <t>EMBM002</t>
  </si>
  <si>
    <t>BOITE CONFITURE D'ABRICOT 4/4 MDN</t>
  </si>
  <si>
    <t>EMBC003</t>
  </si>
  <si>
    <t>BOITE CONFITURE ABRICOT 800 GR</t>
  </si>
  <si>
    <t>EMBC004</t>
  </si>
  <si>
    <t>BOITE CONFITURE FRAISE 400 GR</t>
  </si>
  <si>
    <t>EMBC005</t>
  </si>
  <si>
    <t>BOITE CONCENTRÉ TOMATE NOUR 22% 380 GR</t>
  </si>
  <si>
    <t>EMBC006</t>
  </si>
  <si>
    <t>BOITE DOUBLE CONCENTRÉ TOMATE 28% 400 G NOIR</t>
  </si>
  <si>
    <t>EMBM008</t>
  </si>
  <si>
    <t>BOITE  DOUBLE CONCENTRE DE TOMATE 4/4 MDN</t>
  </si>
  <si>
    <t>EMBC009</t>
  </si>
  <si>
    <t>BOITE DOUBLE CONCENTRÉ TOMATE 28% 800 GR</t>
  </si>
  <si>
    <t>EMBC010</t>
  </si>
  <si>
    <t>BOITE DOUBLE CONCENTRÉ TOMATE 28% 135 GR</t>
  </si>
  <si>
    <t>EMBC011</t>
  </si>
  <si>
    <t>BOITE CONFITURE FIGUE 1/2</t>
  </si>
  <si>
    <t>HARISSA</t>
  </si>
  <si>
    <t>EMBC012</t>
  </si>
  <si>
    <t>BOITE HARISSA 380 GR</t>
  </si>
  <si>
    <t>EMBC013</t>
  </si>
  <si>
    <t>BOITE HARISSA 760 GR</t>
  </si>
  <si>
    <t>EMBC014</t>
  </si>
  <si>
    <t>BOITE HARISSA 135 GR</t>
  </si>
  <si>
    <t>EMBC015</t>
  </si>
  <si>
    <t>BOITE CONCENTRÉ TOMATE NOUR 22% 760 GR</t>
  </si>
  <si>
    <t>EMBC016</t>
  </si>
  <si>
    <t>BOITE CONFITURE D'ORANGE 400 G</t>
  </si>
  <si>
    <t>EMBM017</t>
  </si>
  <si>
    <t>BOITE CONFITURE ORANGE 4/4 MDN</t>
  </si>
  <si>
    <t>EMBC018</t>
  </si>
  <si>
    <t>BOITE CONFITURE POMME 400 GR</t>
  </si>
  <si>
    <t>EMBM019</t>
  </si>
  <si>
    <t>BOITE CONFITURE POMME 4/4 MDN</t>
  </si>
  <si>
    <t>EMBC021</t>
  </si>
  <si>
    <t>CAISSE DOUBLE CONCENTRÉ DE TOMATE 800GR</t>
  </si>
  <si>
    <t>EMBC022</t>
  </si>
  <si>
    <t>CAISSE CONFITURE ABRICOT 400 GR</t>
  </si>
  <si>
    <t>EMBC023</t>
  </si>
  <si>
    <t>CAISSE CONFITURE ABRICOT 800 GR</t>
  </si>
  <si>
    <t>EMBC024</t>
  </si>
  <si>
    <t>CAISSE CONCENTRÉ TOMATE NOUR 22% 380 GR</t>
  </si>
  <si>
    <t>EMBC025</t>
  </si>
  <si>
    <t>CAISSE CONCENTRÉ TOMATE NOUR 22% 760 GR</t>
  </si>
  <si>
    <t>EMBM026</t>
  </si>
  <si>
    <t>CAISSE CONFITURE D'ABRICOT 4/4 MDN</t>
  </si>
  <si>
    <t>EMBC027</t>
  </si>
  <si>
    <t>CAISSE CONFITURE DE FIGUE 400GR</t>
  </si>
  <si>
    <t>EMBC028</t>
  </si>
  <si>
    <t>CAISSE CONFITURE FRAISE 400GR</t>
  </si>
  <si>
    <t>EMBM029</t>
  </si>
  <si>
    <t>CAISSE CONFITURE ORANGE 4/4 MDN</t>
  </si>
  <si>
    <t>EMBM030</t>
  </si>
  <si>
    <t>CAISSE CONFITURE POMME 4/4 MDN</t>
  </si>
  <si>
    <t>EMBC032</t>
  </si>
  <si>
    <t>CAISSE DOUBLE CONCENTRÉ TOMATE 28% 400 G NOIR</t>
  </si>
  <si>
    <t>EMBM033</t>
  </si>
  <si>
    <t>CAISSE DOUBLE CONCENTRE DE TOMATE 4/4 MDN</t>
  </si>
  <si>
    <t>EMBC034</t>
  </si>
  <si>
    <t>CAISSE DOUBLE CONCENTRÉ TOMATE 28% 135 GR (40 BOITES)</t>
  </si>
  <si>
    <t>EMBC035</t>
  </si>
  <si>
    <t>CAISSE DOUBLE CONCENTRÉ TOMATE 28% 135 GR(70 BOITES)</t>
  </si>
  <si>
    <t>EMBC036</t>
  </si>
  <si>
    <t>CAISSE HARISSA 760 GR</t>
  </si>
  <si>
    <t>EMBC037</t>
  </si>
  <si>
    <t>CAISSE HARISSA 135 GR (40 BOITE)</t>
  </si>
  <si>
    <t>EMBC038</t>
  </si>
  <si>
    <t>CAISSE HARISSA  380 GR</t>
  </si>
  <si>
    <t>EMBC039</t>
  </si>
  <si>
    <t>CAISSE CONFITURE D'ORANGE 400 G</t>
  </si>
  <si>
    <t>EMBC063</t>
  </si>
  <si>
    <t xml:space="preserve">CAISSE CONFITURE POMME 400 gr </t>
  </si>
  <si>
    <t>EMBM20</t>
  </si>
  <si>
    <t xml:space="preserve">BOITE CONFITURE Extra PECHE 400 GR </t>
  </si>
  <si>
    <t>EMBC31</t>
  </si>
  <si>
    <t>CAISSE CONFITURE Extar PECHE 400 GR</t>
  </si>
  <si>
    <t>EMBC059</t>
  </si>
  <si>
    <t>BOITE CONFITURE EXTRA FRAISE 400 GR</t>
  </si>
  <si>
    <t>EMBC060</t>
  </si>
  <si>
    <t>CAISSE CONFITURE EXTRA FRAISE 400GR</t>
  </si>
  <si>
    <t>EMBC061</t>
  </si>
  <si>
    <t>BOITE CONFITURE EXTRA D'ORANGE 400 GR</t>
  </si>
  <si>
    <t>EMBC062</t>
  </si>
  <si>
    <t>CAISSE CONFITURE EXTRA D'ORANGE 400 GR</t>
  </si>
  <si>
    <t>EMBC065</t>
  </si>
  <si>
    <t>BOITE CONFITURE EXTRA POMME 400 GR</t>
  </si>
  <si>
    <t>EMBC066</t>
  </si>
  <si>
    <t>CAISSE CONFITURE EXTRA TROIS AGRUMES</t>
  </si>
  <si>
    <t>EMBCO67</t>
  </si>
  <si>
    <t>CAISSE CONFITURE EXTRA FIGUE 400 GR</t>
  </si>
  <si>
    <t>EMBCO68</t>
  </si>
  <si>
    <t xml:space="preserve">BOITE CONFITURE TROIS AGRUME </t>
  </si>
  <si>
    <t>EMBCO69</t>
  </si>
  <si>
    <t>BOITE CONFITURE EXTRA ABRICOT 400 GR</t>
  </si>
  <si>
    <t>EMBCO70</t>
  </si>
  <si>
    <t>CAISSE CONFITURE EXTRA ABRICOT 400 GR</t>
  </si>
  <si>
    <t>EMBC020</t>
  </si>
  <si>
    <t>CAISSE HARISSA 380 GR</t>
  </si>
  <si>
    <t>EMBCO74</t>
  </si>
  <si>
    <t xml:space="preserve">BOITE CONFITURE EXTRA POMPLEMOUSSE 400 GR </t>
  </si>
  <si>
    <t>EMBC007</t>
  </si>
  <si>
    <t>BOITE DOUBLE CONCENTRÉ TOMATE 28% 400 G VERT</t>
  </si>
  <si>
    <t>EMBCO72</t>
  </si>
  <si>
    <t xml:space="preserve">CAISSE CONFITURE EXTRA POMPLEMOUSSE 40 GR </t>
  </si>
  <si>
    <t>EMBCO71</t>
  </si>
  <si>
    <t>CAISSE CONFITURE EXTRA CITRON 400 GR</t>
  </si>
  <si>
    <t>EMBCO73</t>
  </si>
  <si>
    <t>BOITE CONFITURE EXTRA CITRON 400 GR</t>
  </si>
  <si>
    <t>EMBC064</t>
  </si>
  <si>
    <t>CAISSE CONFITURE EXTRA POMME 400 GR</t>
  </si>
  <si>
    <t>Date</t>
  </si>
  <si>
    <t/>
  </si>
  <si>
    <t>Capacite de Stockage</t>
  </si>
  <si>
    <t xml:space="preserve"> Stockage Produit</t>
  </si>
  <si>
    <t>en %</t>
  </si>
  <si>
    <t xml:space="preserve"> Rest a Stock</t>
  </si>
  <si>
    <t>Valeure en Pallete</t>
  </si>
  <si>
    <t>800 GR</t>
  </si>
  <si>
    <t>400 GR</t>
  </si>
  <si>
    <t>135 GR</t>
  </si>
  <si>
    <t>Rest on Boite 800 GR</t>
  </si>
  <si>
    <t>Rest on Boite 400 GR</t>
  </si>
  <si>
    <t>Rest on Boite 135 GR</t>
  </si>
  <si>
    <t>UNITE DE PRODUCTION</t>
  </si>
  <si>
    <t>Row Labels</t>
  </si>
  <si>
    <t>Grand Total</t>
  </si>
  <si>
    <t>Type Produit</t>
  </si>
  <si>
    <t>Pallete CONS</t>
  </si>
  <si>
    <t>Palette BENITAMOU</t>
  </si>
  <si>
    <t>En Palette CONS</t>
  </si>
  <si>
    <t>En Palette PROD</t>
  </si>
  <si>
    <t>En Palette BENI</t>
  </si>
  <si>
    <t>Paramaitre CONS BOITE</t>
  </si>
  <si>
    <t>Paramaitre BOITE BENI</t>
  </si>
  <si>
    <t>dépôt bloquer beni tamou</t>
  </si>
  <si>
    <t>Bloqué</t>
  </si>
  <si>
    <t>Géré par quotas</t>
  </si>
  <si>
    <t>Référence</t>
  </si>
  <si>
    <t>Marque</t>
  </si>
  <si>
    <t>Qté Min</t>
  </si>
  <si>
    <t>MAG PDR</t>
  </si>
  <si>
    <t>SIDI YAHIA 1</t>
  </si>
  <si>
    <t>AVAR SIDI YAHIA 1</t>
  </si>
  <si>
    <t>SIDI YAHIA 2</t>
  </si>
  <si>
    <t>AVAR SIDI YAHIA 2</t>
  </si>
  <si>
    <t>BORDJ 1</t>
  </si>
  <si>
    <t>AVAR BORDJ 1</t>
  </si>
  <si>
    <t>BORDJ 2</t>
  </si>
  <si>
    <t>AVAR BORDJ 2</t>
  </si>
  <si>
    <t>BORDJ 3</t>
  </si>
  <si>
    <t>AVAR BORDJ 3</t>
  </si>
  <si>
    <t>COMMUNAL</t>
  </si>
  <si>
    <t>AVAR COMMUNAL</t>
  </si>
  <si>
    <t>MOUZAIA</t>
  </si>
  <si>
    <t>AVAR MOUZAIA</t>
  </si>
  <si>
    <t>CHIFFA</t>
  </si>
  <si>
    <t>AVAR CHIFFA</t>
  </si>
  <si>
    <t>AVAR BENI TAMOU</t>
  </si>
  <si>
    <t>DÉPOT DÉCHETS HSE</t>
  </si>
  <si>
    <t>DEPOT MEDI BOX</t>
  </si>
  <si>
    <t xml:space="preserve">DEPOT VAN </t>
  </si>
  <si>
    <t>Dépot à recycler</t>
  </si>
  <si>
    <t>DEPOT BLOQUE</t>
  </si>
  <si>
    <t xml:space="preserve">DEPOT A TRIER </t>
  </si>
  <si>
    <t>Depot De vente</t>
  </si>
  <si>
    <t>Depot De Transit</t>
  </si>
  <si>
    <t>a trier BENI TAMOU</t>
  </si>
  <si>
    <t>a trier SIDI YAHIA</t>
  </si>
  <si>
    <t>DEPOT DECHET</t>
  </si>
  <si>
    <t>Avarie  MC Conserverie</t>
  </si>
  <si>
    <t>DEPOT PRET</t>
  </si>
  <si>
    <t>MAG MG</t>
  </si>
  <si>
    <t>DEPOT OUED DJER</t>
  </si>
  <si>
    <t>FINC003</t>
  </si>
  <si>
    <t>FOURNITURE INCORPORABLE</t>
  </si>
  <si>
    <t>ACIDE CITRIQUE</t>
  </si>
  <si>
    <t>99</t>
  </si>
  <si>
    <t>FINC005</t>
  </si>
  <si>
    <t>AIL EN POUDRE</t>
  </si>
  <si>
    <t>102</t>
  </si>
  <si>
    <t>FINC006</t>
  </si>
  <si>
    <t>BENZOATE DE SODIUM BP98 E211</t>
  </si>
  <si>
    <t>6618</t>
  </si>
  <si>
    <t>FINC007</t>
  </si>
  <si>
    <t>CARVI</t>
  </si>
  <si>
    <t>103</t>
  </si>
  <si>
    <t>FINC009</t>
  </si>
  <si>
    <t>COLORANT ROUGE PONCEAU 1 KG SIN 124</t>
  </si>
  <si>
    <t>6767</t>
  </si>
  <si>
    <t>FINC010</t>
  </si>
  <si>
    <t>CORIANDRE</t>
  </si>
  <si>
    <t>104</t>
  </si>
  <si>
    <t>FINC013</t>
  </si>
  <si>
    <t>SEL ALIMENTAIRE 25 KG</t>
  </si>
  <si>
    <t>100</t>
  </si>
  <si>
    <t>FINC015</t>
  </si>
  <si>
    <t xml:space="preserve">SUCRE BLANC </t>
  </si>
  <si>
    <t>97</t>
  </si>
  <si>
    <t>FINC017</t>
  </si>
  <si>
    <t>SEMENCE TOMATE ERCOLE</t>
  </si>
  <si>
    <t>FINC019</t>
  </si>
  <si>
    <t>SEMENCES TOMATES ERCOMEK</t>
  </si>
  <si>
    <t>FINC021</t>
  </si>
  <si>
    <t>PECTINE HM-MRS1</t>
  </si>
  <si>
    <t>FINC022</t>
  </si>
  <si>
    <t xml:space="preserve">BICABONATE DE SODIUM </t>
  </si>
  <si>
    <t>009033</t>
  </si>
  <si>
    <t xml:space="preserve">ETIQUETTE VIERGE PP BLNC DIM 100 X 150 MANDRIN 40 BOBINE 600 </t>
  </si>
  <si>
    <t>008997</t>
  </si>
  <si>
    <t xml:space="preserve">PIMENT BRAVO </t>
  </si>
  <si>
    <t>FINC016</t>
  </si>
  <si>
    <t>VITAMINE C</t>
  </si>
  <si>
    <t>101</t>
  </si>
  <si>
    <t>FINC012</t>
  </si>
  <si>
    <t>PECTINE HMC-MRS1</t>
  </si>
  <si>
    <t>98</t>
  </si>
  <si>
    <t>008978</t>
  </si>
  <si>
    <t>EDTA DISSOLVINE 4 NA</t>
  </si>
  <si>
    <t>FINC011</t>
  </si>
  <si>
    <t>PAPRIKA</t>
  </si>
  <si>
    <t>240</t>
  </si>
  <si>
    <t>FINC004</t>
  </si>
  <si>
    <t>AIL FRAIS</t>
  </si>
  <si>
    <t>7908</t>
  </si>
  <si>
    <t>FINC014</t>
  </si>
  <si>
    <t>SODIUM HYDROXIDE 1KG</t>
  </si>
  <si>
    <t>2161</t>
  </si>
  <si>
    <t>FINC001</t>
  </si>
  <si>
    <t>ACIDE ASCORBIQUE</t>
  </si>
  <si>
    <t>4211</t>
  </si>
  <si>
    <t>FINC002</t>
  </si>
  <si>
    <t>ACIDE ASCORBIQUE GRADE PHARMA</t>
  </si>
  <si>
    <t>2507</t>
  </si>
  <si>
    <t>FINC008</t>
  </si>
  <si>
    <t>CHARBON ACTIF</t>
  </si>
  <si>
    <t>5227</t>
  </si>
  <si>
    <t>FINC020</t>
  </si>
  <si>
    <t xml:space="preserve">CABINE PREFABRIQUE_x000D_
 Dimention : _x000D_
H : 2.30m LAR : 2m LOG :3m _x000D_
pour pont bascule </t>
  </si>
  <si>
    <t>FINC018</t>
  </si>
  <si>
    <t>SEMENCE TOMATE FAHLA</t>
  </si>
  <si>
    <t>Product Type</t>
  </si>
  <si>
    <t>OTHER</t>
  </si>
  <si>
    <t>Client</t>
  </si>
  <si>
    <t>CIVIL</t>
  </si>
  <si>
    <t>MDN</t>
  </si>
  <si>
    <t>Qté - Global</t>
  </si>
  <si>
    <t>Sum of Qté Global</t>
  </si>
  <si>
    <t>(All)</t>
  </si>
  <si>
    <t>Colisage par défaut</t>
  </si>
  <si>
    <t>Dernier Prix Achat</t>
  </si>
  <si>
    <t>018255</t>
  </si>
  <si>
    <t>Product Size</t>
  </si>
  <si>
    <t>Pro.Type</t>
  </si>
  <si>
    <t>PSFF001-2023</t>
  </si>
  <si>
    <t>PUREE D'ABRICOT EN FUT</t>
  </si>
  <si>
    <t>PRODUIT SEMI FINI FUT-2023</t>
  </si>
  <si>
    <t>PSFF004-2023</t>
  </si>
  <si>
    <t>PUREE PIMENT EN FUT</t>
  </si>
  <si>
    <t>PSFF005-2023</t>
  </si>
  <si>
    <t>PUREE DE POIVRE EN FUT</t>
  </si>
  <si>
    <t>PSFF006-2023</t>
  </si>
  <si>
    <t>DOUBLE CONCENTRE TOMATE 28% - 30% EN FUT</t>
  </si>
  <si>
    <t>PSFF007-2023</t>
  </si>
  <si>
    <t>CONCENTRÉ TOMATE 34% - 38% EN FUT</t>
  </si>
  <si>
    <t>PSFF008-2023</t>
  </si>
  <si>
    <t>PUREE DE FIGUE EN FUT</t>
  </si>
  <si>
    <t>PSFF010-2023</t>
  </si>
  <si>
    <t>PUREE DE FRAISE EN FUT</t>
  </si>
  <si>
    <t>PSFF011-2023</t>
  </si>
  <si>
    <t>PUREE D'ABRICOT RAFFINEE EN FUT</t>
  </si>
  <si>
    <t>PSFF013-2023</t>
  </si>
  <si>
    <t>DOUBLE CONCENTRE TOMATE 28% - 30% HOT BREAK EN FUT</t>
  </si>
  <si>
    <t>PSFK015-2023</t>
  </si>
  <si>
    <t>PUREE PIMENT KG</t>
  </si>
  <si>
    <t>PRODUIT SEMI FINI KG-2023</t>
  </si>
  <si>
    <t>PSFK016-2023</t>
  </si>
  <si>
    <t>PUREE D'ORANGE PC KG</t>
  </si>
  <si>
    <t>PSFK017-2023</t>
  </si>
  <si>
    <t>PUREE D'ORANGE RAFFINE KG</t>
  </si>
  <si>
    <t>PSFK018-2023</t>
  </si>
  <si>
    <t>PUREE DE FRAISE RAFFINE KG</t>
  </si>
  <si>
    <t>PSFK019-2023</t>
  </si>
  <si>
    <t>PUREE DE POMME KG</t>
  </si>
  <si>
    <t>PSFK020-2023</t>
  </si>
  <si>
    <t>PUREE DE POIVRE KG</t>
  </si>
  <si>
    <t>PSFK022-2023</t>
  </si>
  <si>
    <t>PUREE DE FRAISE KG</t>
  </si>
  <si>
    <t>PSFK023-2023</t>
  </si>
  <si>
    <t>PUREE DE FIGUE KG</t>
  </si>
  <si>
    <t>PSFK024-2023</t>
  </si>
  <si>
    <t>PUREE D'ABRICOT RAFFINEE KG</t>
  </si>
  <si>
    <t>PSFK025-2023</t>
  </si>
  <si>
    <t>PUREE D'ABRICOT KG</t>
  </si>
  <si>
    <t>PSFK026-2023</t>
  </si>
  <si>
    <t>POMME PUREE RAFFINEE</t>
  </si>
  <si>
    <t>PSFK027-2023</t>
  </si>
  <si>
    <t>DOUBLE CONCENTRE TOMATE 28% - 30% HOT BREAK</t>
  </si>
  <si>
    <t>PSFK028-2023</t>
  </si>
  <si>
    <t>CONCENTRÉ TOMATE 34% - 38%</t>
  </si>
  <si>
    <t>PSFK029-2023</t>
  </si>
  <si>
    <t>DOUBLE CONCENTRE TOMATE 28% - 30% EN KG</t>
  </si>
  <si>
    <t>PSFK030-2023</t>
  </si>
  <si>
    <t>PUREE DE PECHE KG</t>
  </si>
  <si>
    <t>PSFF015-2023</t>
  </si>
  <si>
    <t>PUREE PECHE EN FUT</t>
  </si>
  <si>
    <t>PSFF016-2023</t>
  </si>
  <si>
    <t>FRAISE PUREE RAFFINEE EN FUT</t>
  </si>
  <si>
    <t>PSFK032-2023</t>
  </si>
  <si>
    <t>Purée de poivron 6% KG</t>
  </si>
  <si>
    <t>PSFF022-2023</t>
  </si>
  <si>
    <t>Purée de piment 6% FUT</t>
  </si>
  <si>
    <t>PSFF012-2023</t>
  </si>
  <si>
    <t>POMME PUREE RAFFINEE EN FUT</t>
  </si>
  <si>
    <t>PSFF035-2023</t>
  </si>
  <si>
    <t>DOUBLE CONCENTRE TOMATE 20% - 25% EN FUT</t>
  </si>
  <si>
    <t>PSFK031-2023</t>
  </si>
  <si>
    <t>Purée de piment 6% KG</t>
  </si>
  <si>
    <t>PSFF003-2023</t>
  </si>
  <si>
    <t>PUREE DE POMME EN FUT</t>
  </si>
  <si>
    <t>PSFF002-2023</t>
  </si>
  <si>
    <t>PUREE D'ORANGE EN FUT RAFINEE</t>
  </si>
  <si>
    <t>PSFK021-2023</t>
  </si>
  <si>
    <t>PUREE DE POIRE KG</t>
  </si>
  <si>
    <t>PSFF014-2023</t>
  </si>
  <si>
    <t>PUREE D'ORANGE EN FUT</t>
  </si>
  <si>
    <t>PSFK035-2023</t>
  </si>
  <si>
    <t>DOUBLE CONCENTRE TOMATE 20% - 25% EN KG</t>
  </si>
  <si>
    <t>PSFF023-2023</t>
  </si>
  <si>
    <t>Purée de poivron 6% FUT</t>
  </si>
  <si>
    <t>PSFF009-2023</t>
  </si>
  <si>
    <t>PUREE DE POIRE EN FUT</t>
  </si>
  <si>
    <t>T.Condisinement</t>
  </si>
  <si>
    <t>Caisse</t>
  </si>
  <si>
    <t>C.libelle</t>
  </si>
  <si>
    <t>Fact</t>
  </si>
  <si>
    <t>BOITE</t>
  </si>
  <si>
    <t>Code Condistionement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</si>
</sst>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,##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aytona"/>
      <family val="2"/>
    </font>
    <font>
      <sz val="9"/>
      <color theme="1"/>
      <name val="Daytona"/>
      <family val="2"/>
    </font>
    <font>
      <b/>
      <sz val="9"/>
      <color theme="1"/>
      <name val="Daytona"/>
      <family val="2"/>
    </font>
    <font>
      <b/>
      <sz val="11"/>
      <color theme="1"/>
      <name val="Daytona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1" xfId="0" applyFont="1" applyBorder="1"/>
    <xf numFmtId="165" fontId="3" fillId="0" borderId="0" xfId="0" applyNumberFormat="1" applyFont="1"/>
    <xf numFmtId="164" fontId="3" fillId="0" borderId="2" xfId="1" applyNumberFormat="1" applyFont="1" applyBorder="1"/>
    <xf numFmtId="0" fontId="0" fillId="0" borderId="2" xfId="0" applyBorder="1"/>
    <xf numFmtId="0" fontId="4" fillId="0" borderId="3" xfId="0" applyFont="1" applyBorder="1"/>
    <xf numFmtId="0" fontId="0" fillId="0" borderId="4" xfId="0" applyBorder="1"/>
    <xf numFmtId="0" fontId="5" fillId="0" borderId="5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14" fontId="0" fillId="0" borderId="0" xfId="0" applyNumberFormat="1"/>
    <xf numFmtId="0" fontId="0" fillId="3" borderId="6" xfId="0" applyFill="1" applyBorder="1"/>
    <xf numFmtId="0" fontId="0" fillId="0" borderId="6" xfId="0" applyBorder="1"/>
    <xf numFmtId="14" fontId="2" fillId="4" borderId="0" xfId="0" applyNumberFormat="1" applyFont="1" applyFill="1"/>
    <xf numFmtId="0" fontId="2" fillId="4" borderId="0" xfId="0" applyFont="1" applyFill="1"/>
    <xf numFmtId="0" fontId="7" fillId="5" borderId="6" xfId="0" applyFont="1" applyFill="1" applyBorder="1"/>
    <xf numFmtId="0" fontId="0" fillId="3" borderId="7" xfId="0" applyFill="1" applyBorder="1"/>
    <xf numFmtId="0" fontId="0" fillId="0" borderId="7" xfId="0" applyBorder="1"/>
    <xf numFmtId="0" fontId="7" fillId="5" borderId="7" xfId="0" applyFont="1" applyFill="1" applyBorder="1"/>
    <xf numFmtId="0" fontId="7" fillId="5" borderId="0" xfId="0" applyFont="1" applyFill="1"/>
    <xf numFmtId="0" fontId="0" fillId="3" borderId="0" xfId="0" applyFill="1"/>
  </cellXfs>
  <cellStyles count="2">
    <cellStyle name="Normal" xfId="0" builtinId="0"/>
    <cellStyle name="Pourcentage" xfId="1" builtinId="5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theme="1"/>
        <name val="Dayton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Dayton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Dayton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Dayton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Daytona"/>
        <family val="2"/>
        <scheme val="none"/>
      </font>
      <fill>
        <patternFill patternType="solid">
          <fgColor indexed="64"/>
          <bgColor theme="6" tint="-0.49998474074526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Daytona"/>
        <family val="2"/>
        <scheme val="none"/>
      </font>
      <fill>
        <patternFill patternType="solid">
          <fgColor indexed="64"/>
          <bgColor theme="2" tint="-0.74999237037263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il BEN KHALED" refreshedDate="45677.337417939816" createdVersion="8" refreshedVersion="8" minRefreshableVersion="3" recordCount="27" xr:uid="{93560EB5-ED78-4483-B634-E68BA662D4E8}">
  <cacheSource type="worksheet">
    <worksheetSource name="PF"/>
  </cacheSource>
  <cacheFields count="10">
    <cacheField name="Famille" numFmtId="0">
      <sharedItems count="2">
        <s v="PPRODUIT FINI C"/>
        <s v="PPRODUIT FINI MDN"/>
      </sharedItems>
    </cacheField>
    <cacheField name="Type Produit" numFmtId="0">
      <sharedItems count="3">
        <s v="TOMATE"/>
        <s v="CONFITURE"/>
        <s v="HARISSA"/>
      </sharedItems>
    </cacheField>
    <cacheField name="Code" numFmtId="0">
      <sharedItems/>
    </cacheField>
    <cacheField name="Libellé" numFmtId="0">
      <sharedItems count="27">
        <s v="CONCENTRÉ TOMATE NOUR 22% 380 GR"/>
        <s v="CONCENTRÉ TOMATE NOUR 22% 760 GR"/>
        <s v="CONFITURE ABRICOT 400 GR"/>
        <s v="CONFITURE ABRICOT 800 GR"/>
        <s v="CONFITURE D'ORANGE 400 GR"/>
        <s v="CONFITURE FIGUE 400 GR"/>
        <s v="CONFITURE FRAISE 400 GR"/>
        <s v="CONFITURE POMME 400 GR"/>
        <s v="DOUBLE CONCENTRÉ TOMATE 28% 135 GR"/>
        <s v="DOUBLE CONCENTRÉ TOMATE 28% VERT 400 GR_x000d_"/>
        <s v="DOUBLE CONCENTRÉ TOMATE 28% 400 GR"/>
        <s v="DOUBLE CONCENTRÉ TOMATE 28% 800 GR"/>
        <s v="HARISSA 135 GR"/>
        <s v="HARISSA 760 GR"/>
        <s v="HARISSA 380 GR"/>
        <s v="CONFITURE ABRICOT 4/4"/>
        <s v="DOUBLE CONCENTRE DE TOMATE 4/4"/>
        <s v="CONFITURE POMME 4/4"/>
        <s v="CONFITURE D'ORANGE 4/4"/>
        <s v="CONFITURE EXTRA PECHE 400 GR"/>
        <s v="CONFITURE EXTRA FRAISE 400 GR"/>
        <s v="CONFITURE EXTRA POMME 400 GR"/>
        <s v="CONFITURE EXTRA FIGUE 400 GR"/>
        <s v="CONFITURE EXTRA D'ORANGE 400 GR"/>
        <s v="CONFITURE EXTRA ABRICOT 400 GR"/>
        <s v="Confiture Extra Trois Agrumes 400g"/>
        <s v="CONFITURE EXTRA ABRICOT 800 GR"/>
      </sharedItems>
    </cacheField>
    <cacheField name="PMP" numFmtId="0">
      <sharedItems containsSemiMixedTypes="0" containsString="0" containsNumber="1" minValue="1" maxValue="103.4541"/>
    </cacheField>
    <cacheField name="Qté Global" numFmtId="0">
      <sharedItems containsSemiMixedTypes="0" containsString="0" containsNumber="1" containsInteger="1" minValue="0" maxValue="862180"/>
    </cacheField>
    <cacheField name="MC CONSERVERIE" numFmtId="0">
      <sharedItems containsString="0" containsBlank="1" containsNumber="1" containsInteger="1" minValue="40" maxValue="858426"/>
    </cacheField>
    <cacheField name="BENI TAMOU" numFmtId="0">
      <sharedItems containsString="0" containsBlank="1" containsNumber="1" containsInteger="1" minValue="0" maxValue="321426"/>
    </cacheField>
    <cacheField name="dépôt bloquer beni tamou" numFmtId="0">
      <sharedItems/>
    </cacheField>
    <cacheField name="UNITE DE PRODUCTION" numFmtId="0">
      <sharedItems containsString="0" containsBlank="1" containsNumber="1" containsInteger="1" minValue="0" maxValue="3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s v="PFCT001"/>
    <x v="0"/>
    <n v="10.062799999999999"/>
    <n v="339371"/>
    <n v="113520"/>
    <n v="143805"/>
    <s v=""/>
    <n v="0"/>
  </r>
  <r>
    <x v="0"/>
    <x v="0"/>
    <s v="PFCT002"/>
    <x v="1"/>
    <n v="42.016100000000002"/>
    <n v="462571"/>
    <n v="132456"/>
    <n v="127716"/>
    <s v=""/>
    <n v="0"/>
  </r>
  <r>
    <x v="0"/>
    <x v="1"/>
    <s v="PFCC003"/>
    <x v="2"/>
    <n v="37.338799999999999"/>
    <n v="34433"/>
    <n v="40"/>
    <n v="938"/>
    <s v=""/>
    <m/>
  </r>
  <r>
    <x v="0"/>
    <x v="1"/>
    <s v="PFCC004"/>
    <x v="3"/>
    <n v="92.014499999999998"/>
    <n v="328771"/>
    <n v="2020"/>
    <n v="321426"/>
    <s v=""/>
    <m/>
  </r>
  <r>
    <x v="0"/>
    <x v="1"/>
    <s v="PFCC005"/>
    <x v="4"/>
    <n v="1.9273"/>
    <n v="21933"/>
    <m/>
    <m/>
    <s v=""/>
    <m/>
  </r>
  <r>
    <x v="0"/>
    <x v="1"/>
    <s v="PFCC006"/>
    <x v="5"/>
    <n v="1"/>
    <n v="76409"/>
    <n v="71424"/>
    <m/>
    <s v=""/>
    <n v="0"/>
  </r>
  <r>
    <x v="0"/>
    <x v="1"/>
    <s v="PFCC007"/>
    <x v="6"/>
    <n v="1"/>
    <n v="1008"/>
    <m/>
    <n v="1008"/>
    <s v=""/>
    <m/>
  </r>
  <r>
    <x v="0"/>
    <x v="1"/>
    <s v="PFCC008"/>
    <x v="7"/>
    <n v="17.007300000000001"/>
    <n v="5139"/>
    <m/>
    <n v="2884"/>
    <s v=""/>
    <m/>
  </r>
  <r>
    <x v="0"/>
    <x v="0"/>
    <s v="PFCT009"/>
    <x v="8"/>
    <n v="12.9773"/>
    <n v="13004"/>
    <m/>
    <m/>
    <s v=""/>
    <n v="0"/>
  </r>
  <r>
    <x v="0"/>
    <x v="0"/>
    <s v="PFCT010"/>
    <x v="9"/>
    <n v="1"/>
    <n v="360"/>
    <m/>
    <m/>
    <s v=""/>
    <m/>
  </r>
  <r>
    <x v="0"/>
    <x v="0"/>
    <s v="PFCT011"/>
    <x v="10"/>
    <n v="41.789499999999997"/>
    <n v="84156"/>
    <n v="12769"/>
    <n v="0"/>
    <s v=""/>
    <n v="0"/>
  </r>
  <r>
    <x v="0"/>
    <x v="0"/>
    <s v="PFCT012"/>
    <x v="11"/>
    <n v="80.528099999999995"/>
    <n v="447900"/>
    <n v="806"/>
    <n v="253578"/>
    <s v=""/>
    <n v="0"/>
  </r>
  <r>
    <x v="0"/>
    <x v="2"/>
    <s v="PFCH013"/>
    <x v="12"/>
    <n v="1.8461000000000001"/>
    <n v="7457"/>
    <m/>
    <m/>
    <s v=""/>
    <m/>
  </r>
  <r>
    <x v="0"/>
    <x v="2"/>
    <s v="PFCH014"/>
    <x v="13"/>
    <n v="49.689700000000002"/>
    <n v="146179"/>
    <n v="41004"/>
    <n v="58118"/>
    <s v=""/>
    <n v="3475"/>
  </r>
  <r>
    <x v="0"/>
    <x v="2"/>
    <s v="PFCH015"/>
    <x v="14"/>
    <n v="29.566099999999999"/>
    <n v="351279"/>
    <n v="238920"/>
    <n v="77342"/>
    <s v=""/>
    <n v="1368"/>
  </r>
  <r>
    <x v="1"/>
    <x v="1"/>
    <s v="PFMC017"/>
    <x v="15"/>
    <n v="101.56529999999999"/>
    <n v="62873"/>
    <n v="58817"/>
    <m/>
    <s v=""/>
    <m/>
  </r>
  <r>
    <x v="1"/>
    <x v="0"/>
    <s v="PFMT016"/>
    <x v="16"/>
    <n v="84.104299999999995"/>
    <n v="862180"/>
    <n v="858426"/>
    <m/>
    <s v=""/>
    <n v="0"/>
  </r>
  <r>
    <x v="1"/>
    <x v="1"/>
    <s v="PFMC018"/>
    <x v="17"/>
    <n v="103.4541"/>
    <n v="12312"/>
    <n v="3768"/>
    <m/>
    <s v=""/>
    <m/>
  </r>
  <r>
    <x v="1"/>
    <x v="1"/>
    <s v="PFMC019"/>
    <x v="18"/>
    <n v="100.4097"/>
    <n v="23649"/>
    <n v="20313"/>
    <m/>
    <s v=""/>
    <m/>
  </r>
  <r>
    <x v="0"/>
    <x v="1"/>
    <s v="PFCC016"/>
    <x v="19"/>
    <n v="64.122799999999998"/>
    <n v="53457"/>
    <n v="2341"/>
    <n v="39072"/>
    <s v=""/>
    <n v="0"/>
  </r>
  <r>
    <x v="0"/>
    <x v="1"/>
    <s v="PFCC017"/>
    <x v="20"/>
    <n v="46.709099999999999"/>
    <n v="53047"/>
    <n v="52670"/>
    <n v="0"/>
    <s v=""/>
    <n v="0"/>
  </r>
  <r>
    <x v="0"/>
    <x v="1"/>
    <s v="PFCC018"/>
    <x v="21"/>
    <n v="32.889699999999998"/>
    <n v="36582"/>
    <n v="1646"/>
    <n v="34920"/>
    <s v=""/>
    <m/>
  </r>
  <r>
    <x v="0"/>
    <x v="1"/>
    <s v="PFCC019"/>
    <x v="22"/>
    <n v="53.934199999999997"/>
    <n v="67128"/>
    <n v="67128"/>
    <m/>
    <s v=""/>
    <n v="0"/>
  </r>
  <r>
    <x v="0"/>
    <x v="1"/>
    <s v="PFCC020"/>
    <x v="23"/>
    <n v="40.484299999999998"/>
    <n v="3136"/>
    <m/>
    <n v="3024"/>
    <s v=""/>
    <m/>
  </r>
  <r>
    <x v="0"/>
    <x v="1"/>
    <s v="PFCC022"/>
    <x v="24"/>
    <n v="43.512300000000003"/>
    <n v="385008"/>
    <n v="293808"/>
    <n v="2400"/>
    <s v=""/>
    <n v="0"/>
  </r>
  <r>
    <x v="0"/>
    <x v="1"/>
    <s v="PFCC023"/>
    <x v="25"/>
    <n v="30.793099999999999"/>
    <n v="43200"/>
    <n v="48"/>
    <m/>
    <s v=""/>
    <m/>
  </r>
  <r>
    <x v="0"/>
    <x v="1"/>
    <s v="PFCC021"/>
    <x v="26"/>
    <n v="98.039199999999994"/>
    <n v="0"/>
    <m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6A31-4130-4004-BE4F-054C4557A0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0">
    <pivotField axis="axisPage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4">
        <item x="1"/>
        <item x="2"/>
        <item x="0"/>
        <item t="default"/>
      </items>
    </pivotField>
    <pivotField showAll="0"/>
    <pivotField axis="axisRow" showAll="0">
      <items count="28">
        <item x="0"/>
        <item x="1"/>
        <item x="15"/>
        <item x="2"/>
        <item x="3"/>
        <item x="18"/>
        <item x="4"/>
        <item x="24"/>
        <item x="26"/>
        <item x="23"/>
        <item x="22"/>
        <item x="20"/>
        <item x="19"/>
        <item x="21"/>
        <item x="25"/>
        <item x="5"/>
        <item x="6"/>
        <item x="17"/>
        <item x="7"/>
        <item x="16"/>
        <item x="8"/>
        <item x="10"/>
        <item x="11"/>
        <item x="9"/>
        <item x="12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 v="2"/>
    </i>
    <i>
      <x v="5"/>
    </i>
    <i>
      <x v="17"/>
    </i>
    <i>
      <x v="19"/>
    </i>
    <i t="grand">
      <x/>
    </i>
  </rowItems>
  <colItems count="1">
    <i/>
  </colItems>
  <pageFields count="2">
    <pageField fld="1" hier="-1"/>
    <pageField fld="0" hier="-1"/>
  </pageFields>
  <dataFields count="1">
    <dataField name="Sum of Qté Glob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04EA4F4-2288-43DC-BD9F-58AED8C98D40}" autoFormatId="16" applyNumberFormats="0" applyBorderFormats="0" applyFontFormats="0" applyPatternFormats="0" applyAlignmentFormats="0" applyWidthHeightFormats="0">
  <queryTableRefresh nextId="57">
    <queryTableFields count="50">
      <queryTableField id="2" name="Famille" tableColumnId="2"/>
      <queryTableField id="51" name="Pro.Type" tableColumnId="48"/>
      <queryTableField id="52" name="Colisage par défaut" tableColumnId="49"/>
      <queryTableField id="1" name="Code" tableColumnId="1"/>
      <queryTableField id="53" name="Dernier Prix Achat" tableColumnId="50"/>
      <queryTableField id="3" name="Libellé" tableColumnId="3"/>
      <queryTableField id="4" name="PMP" tableColumnId="4"/>
      <queryTableField id="5" name="Bloqué" tableColumnId="5"/>
      <queryTableField id="6" name="Géré par quotas" tableColumnId="6"/>
      <queryTableField id="7" name="Référence" tableColumnId="7"/>
      <queryTableField id="8" name="Marque" tableColumnId="8"/>
      <queryTableField id="9" name="Qté Global" tableColumnId="9"/>
      <queryTableField id="10" name="Qté Min" tableColumnId="10"/>
      <queryTableField id="11" name="MAG PDR" tableColumnId="11"/>
      <queryTableField id="12" name="MC CONSERVERIE" tableColumnId="12"/>
      <queryTableField id="13" name="UNITE DE PRODUCTION" tableColumnId="13"/>
      <queryTableField id="14" name="SIDI YAHIA 1" tableColumnId="14"/>
      <queryTableField id="15" name="AVAR SIDI YAHIA 1" tableColumnId="15"/>
      <queryTableField id="16" name="SIDI YAHIA 2" tableColumnId="16"/>
      <queryTableField id="17" name="AVAR SIDI YAHIA 2" tableColumnId="17"/>
      <queryTableField id="18" name="BORDJ 1" tableColumnId="18"/>
      <queryTableField id="19" name="AVAR BORDJ 1" tableColumnId="19"/>
      <queryTableField id="20" name="BORDJ 2" tableColumnId="20"/>
      <queryTableField id="21" name="AVAR BORDJ 2" tableColumnId="21"/>
      <queryTableField id="22" name="BORDJ 3" tableColumnId="22"/>
      <queryTableField id="23" name="AVAR BORDJ 3" tableColumnId="23"/>
      <queryTableField id="24" name="COMMUNAL" tableColumnId="24"/>
      <queryTableField id="25" name="AVAR COMMUNAL" tableColumnId="25"/>
      <queryTableField id="26" name="MOUZAIA" tableColumnId="26"/>
      <queryTableField id="27" name="AVAR MOUZAIA" tableColumnId="27"/>
      <queryTableField id="28" name="CHIFFA" tableColumnId="28"/>
      <queryTableField id="29" name="AVAR CHIFFA" tableColumnId="29"/>
      <queryTableField id="30" name="BENI TAMOU" tableColumnId="30"/>
      <queryTableField id="31" name="AVAR BENI TAMOU" tableColumnId="31"/>
      <queryTableField id="32" name="DÉPOT DÉCHETS HSE" tableColumnId="32"/>
      <queryTableField id="33" name="DEPOT MEDI BOX" tableColumnId="33"/>
      <queryTableField id="34" name="DEPOT VAN " tableColumnId="34"/>
      <queryTableField id="35" name="Dépot à recycler" tableColumnId="35"/>
      <queryTableField id="36" name="DEPOT BLOQUE" tableColumnId="36"/>
      <queryTableField id="37" name="DEPOT A TRIER " tableColumnId="37"/>
      <queryTableField id="38" name="Depot De vente" tableColumnId="38"/>
      <queryTableField id="39" name="Depot De Transit" tableColumnId="39"/>
      <queryTableField id="40" name="a trier BENI TAMOU" tableColumnId="40"/>
      <queryTableField id="41" name="a trier SIDI YAHIA" tableColumnId="41"/>
      <queryTableField id="42" name="DEPOT DECHET" tableColumnId="42"/>
      <queryTableField id="43" name="Avarie  MC Conserverie" tableColumnId="43"/>
      <queryTableField id="44" name="DEPOT PRET" tableColumnId="44"/>
      <queryTableField id="45" name="MAG MG" tableColumnId="45"/>
      <queryTableField id="46" name="DEPOT OUED DJER" tableColumnId="46"/>
      <queryTableField id="47" name="dépôt bloquer beni tamou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B6499DB-2CB3-4C1F-871D-EF736411CE6F}" autoFormatId="16" applyNumberFormats="0" applyBorderFormats="0" applyFontFormats="0" applyPatternFormats="0" applyAlignmentFormats="0" applyWidthHeightFormats="0">
  <queryTableRefresh nextId="21">
    <queryTableFields count="11">
      <queryTableField id="1" name="Famille" tableColumnId="1"/>
      <queryTableField id="17" name="Product Type" tableColumnId="13"/>
      <queryTableField id="18" name="Taille Produit" tableColumnId="14"/>
      <queryTableField id="2" name="Code" tableColumnId="2"/>
      <queryTableField id="3" name="Libellé" tableColumnId="3"/>
      <queryTableField id="4" name="PMP" tableColumnId="4"/>
      <queryTableField id="5" name="Qté Global" tableColumnId="5"/>
      <queryTableField id="6" name="MC CONSERVERIE" tableColumnId="6"/>
      <queryTableField id="7" name="BENI TAMOU" tableColumnId="7"/>
      <queryTableField id="11" name="dépôt bloquer beni tamou" tableColumnId="10"/>
      <queryTableField id="8" name="UNITE DE PRODUCTION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24FD6DC5-F198-466A-8168-0BA537607DDD}" autoFormatId="16" applyNumberFormats="0" applyBorderFormats="0" applyFontFormats="0" applyPatternFormats="0" applyAlignmentFormats="0" applyWidthHeightFormats="0">
  <queryTableRefresh nextId="62" unboundColumnsRight="2">
    <queryTableFields count="11">
      <queryTableField id="54" name="Colisage par défaut" tableColumnId="11"/>
      <queryTableField id="55" name="Dernier Prix Achat" tableColumnId="13"/>
      <queryTableField id="2" name="Code" tableColumnId="2"/>
      <queryTableField id="3" name="Libellé" tableColumnId="3"/>
      <queryTableField id="4" name="PMP" tableColumnId="4"/>
      <queryTableField id="9" name="Qté Global" tableColumnId="9"/>
      <queryTableField id="12" name="MC CONSERVERIE" tableColumnId="12"/>
      <queryTableField id="30" name="BENI TAMOU" tableColumnId="30"/>
      <queryTableField id="49" name="dépôt bloquer beni tamou" tableColumnId="7"/>
      <queryTableField id="47" dataBound="0" tableColumnId="5"/>
      <queryTableField id="48" dataBound="0" tableColumnId="6"/>
    </queryTableFields>
    <queryTableDeletedFields count="4">
      <deletedField name="Famille"/>
      <deletedField name="Client"/>
      <deletedField name="Pro.Type"/>
      <deletedField name="Product Siz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2441813-842B-499E-89F2-CB9DA613A67D}" autoFormatId="16" applyNumberFormats="0" applyBorderFormats="0" applyFontFormats="0" applyPatternFormats="0" applyAlignmentFormats="0" applyWidthHeightFormats="0">
  <queryTableRefresh nextId="24">
    <queryTableFields count="11">
      <queryTableField id="1" name="Famille" tableColumnId="1"/>
      <queryTableField id="20" name="Client" tableColumnId="13"/>
      <queryTableField id="18" name="Type Produit" tableColumnId="12"/>
      <queryTableField id="22" name="Product Size" tableColumnId="14"/>
      <queryTableField id="2" name="Code" tableColumnId="2"/>
      <queryTableField id="3" name="Libellé" tableColumnId="3"/>
      <queryTableField id="4" name="Qté Global" tableColumnId="4"/>
      <queryTableField id="5" name="MC CONSERVERIE" tableColumnId="5"/>
      <queryTableField id="7" name="BENI TAMOU" tableColumnId="7"/>
      <queryTableField id="6" name="UNITE DE PRODUCTION" tableColumnId="6"/>
      <queryTableField id="11" name="dépôt bloquer beni tamou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01ABBECA-A613-4F2D-B04A-B01ACF856C75}" autoFormatId="16" applyNumberFormats="0" applyBorderFormats="0" applyFontFormats="0" applyPatternFormats="0" applyAlignmentFormats="0" applyWidthHeightFormats="0">
  <queryTableRefresh nextId="24">
    <queryTableFields count="19">
      <queryTableField id="3" name="Famille" tableColumnId="3"/>
      <queryTableField id="19" name="Product Type" tableColumnId="19"/>
      <queryTableField id="1" name="Code" tableColumnId="1"/>
      <queryTableField id="2" name="Libellé" tableColumnId="2"/>
      <queryTableField id="4" name="Qté Global" tableColumnId="4"/>
      <queryTableField id="5" name="Qté Min" tableColumnId="5"/>
      <queryTableField id="6" name="MAG PDR" tableColumnId="6"/>
      <queryTableField id="7" name="MC CONSERVERIE" tableColumnId="7"/>
      <queryTableField id="8" name="UNITE DE PRODUCTION" tableColumnId="8"/>
      <queryTableField id="9" name="SIDI YAHIA 1" tableColumnId="9"/>
      <queryTableField id="10" name="AVAR SIDI YAHIA 1" tableColumnId="10"/>
      <queryTableField id="11" name="SIDI YAHIA 2" tableColumnId="11"/>
      <queryTableField id="12" name="AVAR SIDI YAHIA 2" tableColumnId="12"/>
      <queryTableField id="13" name="BORDJ 1" tableColumnId="13"/>
      <queryTableField id="14" name="AVAR BORDJ 1" tableColumnId="14"/>
      <queryTableField id="15" name="BORDJ 2" tableColumnId="15"/>
      <queryTableField id="16" name="AVAR BORDJ 2" tableColumnId="16"/>
      <queryTableField id="17" name="BORDJ 3" tableColumnId="17"/>
      <queryTableField id="18" name="BENI TAMOU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A52B12-CAEE-43F1-9492-4EF85E43A37A}" name="Sheet__8" displayName="Sheet__8" ref="A1:AX26" tableType="queryTable" totalsRowShown="0">
  <autoFilter ref="A1:AX26" xr:uid="{FBA52B12-CAEE-43F1-9492-4EF85E43A37A}"/>
  <tableColumns count="50">
    <tableColumn id="2" xr3:uid="{5790F93D-B017-4439-8733-129D6ADE3F17}" uniqueName="2" name="Famille" queryTableFieldId="2" dataDxfId="42"/>
    <tableColumn id="48" xr3:uid="{F910978C-54D3-4C8E-AEFC-2A35A6F9D236}" uniqueName="48" name="Pro.Type" queryTableFieldId="51"/>
    <tableColumn id="49" xr3:uid="{B662574A-DFBD-4E15-8C0E-0565EBAF05CF}" uniqueName="49" name="Colisage par défaut" queryTableFieldId="52"/>
    <tableColumn id="1" xr3:uid="{A1F0E60A-C1B1-4C4C-9297-5C39A8068DCE}" uniqueName="1" name="Code" queryTableFieldId="1" dataDxfId="41"/>
    <tableColumn id="50" xr3:uid="{E1E08F6E-B000-4D50-B0A2-0B172988FC99}" uniqueName="50" name="Dernier Prix Achat" queryTableFieldId="53"/>
    <tableColumn id="3" xr3:uid="{041E0503-7FF4-4109-9CE8-F46A8959FAA4}" uniqueName="3" name="Libellé" queryTableFieldId="3" dataDxfId="40"/>
    <tableColumn id="4" xr3:uid="{DDE923E6-5A3F-4813-B31C-547B46BD3638}" uniqueName="4" name="PMP" queryTableFieldId="4"/>
    <tableColumn id="5" xr3:uid="{E7FB5A37-DC04-41A7-A7D3-8AAD2F5E281A}" uniqueName="5" name="Bloqué" queryTableFieldId="5"/>
    <tableColumn id="6" xr3:uid="{8CFBA373-C130-4834-AABF-1D202D2DADC1}" uniqueName="6" name="Géré par quotas" queryTableFieldId="6"/>
    <tableColumn id="7" xr3:uid="{7444AEFB-7186-4035-943D-6697397F0C46}" uniqueName="7" name="Référence" queryTableFieldId="7" dataDxfId="39"/>
    <tableColumn id="8" xr3:uid="{38A2EC2E-7425-4541-8544-A9BF34D50813}" uniqueName="8" name="Marque" queryTableFieldId="8" dataDxfId="38"/>
    <tableColumn id="9" xr3:uid="{5F33DE78-C3A6-4B98-9C96-3535A08667DA}" uniqueName="9" name="Qté Global" queryTableFieldId="9"/>
    <tableColumn id="10" xr3:uid="{966BCDD7-3424-48E7-A4C5-CA4D555D3B1B}" uniqueName="10" name="Qté Min" queryTableFieldId="10"/>
    <tableColumn id="11" xr3:uid="{EE30A49E-59C5-4095-A195-8404C8AC3899}" uniqueName="11" name="MAG PDR" queryTableFieldId="11"/>
    <tableColumn id="12" xr3:uid="{519F582D-A66A-4095-87D6-6F1D717D93C2}" uniqueName="12" name="MC CONSERVERIE" queryTableFieldId="12"/>
    <tableColumn id="13" xr3:uid="{696A3EC2-34B6-4002-B0EE-EE3F56F17797}" uniqueName="13" name="UNITE DE PRODUCTION" queryTableFieldId="13"/>
    <tableColumn id="14" xr3:uid="{BD840136-624A-418E-8309-866149BEEF4C}" uniqueName="14" name="SIDI YAHIA 1" queryTableFieldId="14"/>
    <tableColumn id="15" xr3:uid="{67583F78-D62B-4583-A72D-6D6D84397BD1}" uniqueName="15" name="AVAR SIDI YAHIA 1" queryTableFieldId="15"/>
    <tableColumn id="16" xr3:uid="{20FFD456-F026-47C4-AB82-DA8785900C8F}" uniqueName="16" name="SIDI YAHIA 2" queryTableFieldId="16" dataDxfId="37"/>
    <tableColumn id="17" xr3:uid="{75238C1D-1120-43C6-8370-66DADBF5CFA6}" uniqueName="17" name="AVAR SIDI YAHIA 2" queryTableFieldId="17" dataDxfId="36"/>
    <tableColumn id="18" xr3:uid="{4B9337D6-6FC7-43C0-853D-DEA5344EFD43}" uniqueName="18" name="BORDJ 1" queryTableFieldId="18"/>
    <tableColumn id="19" xr3:uid="{44EF20F2-9682-423F-8020-C73FD9FE80CF}" uniqueName="19" name="AVAR BORDJ 1" queryTableFieldId="19"/>
    <tableColumn id="20" xr3:uid="{E122FE4A-0C77-4FEE-93E7-63B3A618F25C}" uniqueName="20" name="BORDJ 2" queryTableFieldId="20"/>
    <tableColumn id="21" xr3:uid="{94910CDC-B35A-44FE-8CD4-692A361C5FF6}" uniqueName="21" name="AVAR BORDJ 2" queryTableFieldId="21"/>
    <tableColumn id="22" xr3:uid="{94CFCF8D-DFF2-4E60-BC45-F76B0597433B}" uniqueName="22" name="BORDJ 3" queryTableFieldId="22"/>
    <tableColumn id="23" xr3:uid="{BAD52722-C300-4455-A8FC-D4E40128CBA0}" uniqueName="23" name="AVAR BORDJ 3" queryTableFieldId="23" dataDxfId="35"/>
    <tableColumn id="24" xr3:uid="{BFEEA99F-37CC-4BB2-9A90-8A2CD7ECB310}" uniqueName="24" name="COMMUNAL" queryTableFieldId="24" dataDxfId="34"/>
    <tableColumn id="25" xr3:uid="{76831428-5F69-44B7-8E8D-139550C9829E}" uniqueName="25" name="AVAR COMMUNAL" queryTableFieldId="25" dataDxfId="33"/>
    <tableColumn id="26" xr3:uid="{02EB8087-B069-4FC5-AC61-0E981E92F4FF}" uniqueName="26" name="MOUZAIA" queryTableFieldId="26" dataDxfId="32"/>
    <tableColumn id="27" xr3:uid="{A4FA23DE-7F99-41D3-A7C5-FEF1F0242DAD}" uniqueName="27" name="AVAR MOUZAIA" queryTableFieldId="27" dataDxfId="31"/>
    <tableColumn id="28" xr3:uid="{D6349DE8-33DF-4879-B480-2F6880AA2C27}" uniqueName="28" name="CHIFFA" queryTableFieldId="28" dataDxfId="30"/>
    <tableColumn id="29" xr3:uid="{28891EF2-103B-4B73-ACB1-49438B534C15}" uniqueName="29" name="AVAR CHIFFA" queryTableFieldId="29" dataDxfId="29"/>
    <tableColumn id="30" xr3:uid="{70C8887E-D073-4C9E-81EB-F6CE48ADB539}" uniqueName="30" name="BENI TAMOU" queryTableFieldId="30"/>
    <tableColumn id="31" xr3:uid="{AFB0525E-ABE2-4F2B-8169-6A9720D396F6}" uniqueName="31" name="AVAR BENI TAMOU" queryTableFieldId="31"/>
    <tableColumn id="32" xr3:uid="{27D34CE6-4ADA-4A46-AE81-2AC5A0FA0235}" uniqueName="32" name="DÉPOT DÉCHETS HSE" queryTableFieldId="32" dataDxfId="28"/>
    <tableColumn id="33" xr3:uid="{99E233DA-CA64-4C3E-A15E-7FE888DD900C}" uniqueName="33" name="DEPOT MEDI BOX" queryTableFieldId="33" dataDxfId="27"/>
    <tableColumn id="34" xr3:uid="{4E470F98-EAE4-4BF6-A522-F3E560486632}" uniqueName="34" name="DEPOT VAN " queryTableFieldId="34" dataDxfId="26"/>
    <tableColumn id="35" xr3:uid="{B3FCDE1D-D28F-4FCF-9579-A480EDBFEC55}" uniqueName="35" name="Dépot à recycler" queryTableFieldId="35"/>
    <tableColumn id="36" xr3:uid="{01FC40F6-861E-4EAC-AB48-A0D6137F7AFF}" uniqueName="36" name="DEPOT BLOQUE" queryTableFieldId="36"/>
    <tableColumn id="37" xr3:uid="{B49296BB-3DBB-43A1-835D-EB71810DA694}" uniqueName="37" name="DEPOT A TRIER " queryTableFieldId="37"/>
    <tableColumn id="38" xr3:uid="{675A7279-A69D-4871-8E54-5BD23BBFD8F7}" uniqueName="38" name="Depot De vente" queryTableFieldId="38"/>
    <tableColumn id="39" xr3:uid="{32067B45-21BD-4D2F-8B01-7190BD023C34}" uniqueName="39" name="Depot De Transit" queryTableFieldId="39"/>
    <tableColumn id="40" xr3:uid="{379AD032-8AAE-4682-98F8-646D61619B98}" uniqueName="40" name="a trier BENI TAMOU" queryTableFieldId="40"/>
    <tableColumn id="41" xr3:uid="{4F195E7A-1CCF-4B2E-824A-2ECA3A9DF596}" uniqueName="41" name="a trier SIDI YAHIA" queryTableFieldId="41"/>
    <tableColumn id="42" xr3:uid="{9D01AC31-B1BB-47B4-AB9C-60DC2F807554}" uniqueName="42" name="DEPOT DECHET" queryTableFieldId="42" dataDxfId="25"/>
    <tableColumn id="43" xr3:uid="{6F5182D9-C807-421A-982A-66DE4D185735}" uniqueName="43" name="Avarie  MC Conserverie" queryTableFieldId="43"/>
    <tableColumn id="44" xr3:uid="{E85E4EFC-4CE4-468B-AFC8-42E9A3E8C529}" uniqueName="44" name="DEPOT PRET" queryTableFieldId="44" dataDxfId="24"/>
    <tableColumn id="45" xr3:uid="{6713932A-F063-4007-AE1A-12694782213D}" uniqueName="45" name="MAG MG" queryTableFieldId="45"/>
    <tableColumn id="46" xr3:uid="{CC738911-C227-46A2-99C8-C9E18747FC40}" uniqueName="46" name="DEPOT OUED DJER" queryTableFieldId="46" dataDxfId="23"/>
    <tableColumn id="47" xr3:uid="{028C7BEC-D3FD-461B-8D08-F8AC1ABB11AA}" uniqueName="47" name="dépôt bloquer beni tamou" queryTableFieldId="4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B2B00-FEEE-4E71-B430-7CE7ABC55B7D}" name="PF" displayName="PF" ref="A1:K28" tableType="queryTable" totalsRowShown="0">
  <autoFilter ref="A1:K28" xr:uid="{54CB2B00-FEEE-4E71-B430-7CE7ABC55B7D}"/>
  <tableColumns count="11">
    <tableColumn id="1" xr3:uid="{B1C77861-AB05-4018-A8BA-4F2E21AE948B}" uniqueName="1" name="Famille" queryTableFieldId="1" dataDxfId="21"/>
    <tableColumn id="13" xr3:uid="{6EA83F9B-AC21-4D40-B3BA-F72521F99559}" uniqueName="13" name="Product Type" queryTableFieldId="17"/>
    <tableColumn id="14" xr3:uid="{F4BAF68D-061B-4521-851B-1FBFFCECF75B}" uniqueName="14" name="Taille Produit" queryTableFieldId="18"/>
    <tableColumn id="2" xr3:uid="{6DCC844E-65BC-4D19-87C8-1BEAD04B0573}" uniqueName="2" name="Code" queryTableFieldId="2" dataDxfId="20"/>
    <tableColumn id="3" xr3:uid="{23A2C8D5-3AAE-4D31-9A87-81C32DF270B7}" uniqueName="3" name="Libellé" queryTableFieldId="3" dataDxfId="19"/>
    <tableColumn id="4" xr3:uid="{C6BD32C2-2E10-43A5-BC3D-D82899F85493}" uniqueName="4" name="PMP" queryTableFieldId="4"/>
    <tableColumn id="5" xr3:uid="{93C9EDC1-ADD1-4B3D-9698-5A731858AE98}" uniqueName="5" name="Qté Global" queryTableFieldId="5"/>
    <tableColumn id="6" xr3:uid="{CF83E5D5-7095-4DD1-A3EA-86381D028C87}" uniqueName="6" name="MC CONSERVERIE" queryTableFieldId="6"/>
    <tableColumn id="7" xr3:uid="{02C3C364-4CEF-499C-A747-7B03F5C80E65}" uniqueName="7" name="BENI TAMOU" queryTableFieldId="7"/>
    <tableColumn id="10" xr3:uid="{14F94118-0ADA-4AE1-89F9-453591D897CB}" uniqueName="10" name="dépôt bloquer beni tamou" queryTableFieldId="11"/>
    <tableColumn id="8" xr3:uid="{80B3493B-5CF9-40DC-9E49-26BF722F6F80}" uniqueName="8" name="UNITE DE PRODUCTION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C6106C-77CE-4196-8B67-B7E9C8CBE27E}" name="Tableau7" displayName="Tableau7" ref="A1:G165" totalsRowShown="0" headerRowDxfId="18">
  <autoFilter ref="A1:G165" xr:uid="{31C6106C-77CE-4196-8B67-B7E9C8CBE27E}"/>
  <tableColumns count="7">
    <tableColumn id="1" xr3:uid="{658F0AE0-6A3A-465A-B67A-754AC5D59797}" name="Date" dataDxfId="17"/>
    <tableColumn id="5" xr3:uid="{E0B6D5EA-1CBB-407F-8EE4-CDA9522F08BB}" name="Code"/>
    <tableColumn id="6" xr3:uid="{BC228375-B793-45A1-8F47-5677AC526B7A}" name="Libellé"/>
    <tableColumn id="7" xr3:uid="{B9120AA7-8D08-4CD3-9A27-F37C8193B2FB}" name="PMP"/>
    <tableColumn id="8" xr3:uid="{F31A2E5C-1063-4D4C-B048-C1AC825F4270}" name="Qté - Global"/>
    <tableColumn id="9" xr3:uid="{D95248B2-00E1-47F2-89FA-0D56371F5AD3}" name="MC CONSERVERIE"/>
    <tableColumn id="10" xr3:uid="{8DCDD2B8-3CD7-44E9-8770-1C704AD986DC}" name="BENI TAMOU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E270D-3807-498A-9AD4-3543959F71B1}" name="CAISSE" displayName="CAISSE" ref="A1:K30" tableType="queryTable" totalsRowShown="0">
  <autoFilter ref="A1:K30" xr:uid="{EA0E270D-3807-498A-9AD4-3543959F71B1}"/>
  <tableColumns count="11">
    <tableColumn id="11" xr3:uid="{2DF1516F-95EB-4D60-B046-323417938FB1}" uniqueName="11" name="Colisage par défaut" queryTableFieldId="54"/>
    <tableColumn id="13" xr3:uid="{D6144D73-CB5E-46FC-8AE8-16B2469DBEB1}" uniqueName="13" name="Dernier Prix Achat" queryTableFieldId="55"/>
    <tableColumn id="2" xr3:uid="{B80D3D91-E2F0-44A0-8E47-01DA288FDF80}" uniqueName="2" name="Code" queryTableFieldId="2" dataDxfId="16"/>
    <tableColumn id="3" xr3:uid="{A74D4D50-C8B8-4C91-88F1-AAD4E22EBFBF}" uniqueName="3" name="Libellé" queryTableFieldId="3" dataDxfId="15"/>
    <tableColumn id="4" xr3:uid="{2D3FB270-5EA2-404A-A304-5E3B5E250E4F}" uniqueName="4" name="PMP" queryTableFieldId="4"/>
    <tableColumn id="9" xr3:uid="{F81CE6F2-A0DF-41A1-88A0-3810AB2D22CF}" uniqueName="9" name="Qté Global" queryTableFieldId="9"/>
    <tableColumn id="12" xr3:uid="{E74E1F1E-FA87-4DB2-871E-EEA859842442}" uniqueName="12" name="MC CONSERVERIE" queryTableFieldId="12"/>
    <tableColumn id="30" xr3:uid="{07EFB544-1218-4497-A53C-D58BCA86F74D}" uniqueName="30" name="BENI TAMOU" queryTableFieldId="30"/>
    <tableColumn id="7" xr3:uid="{183C49E3-94D7-4AFB-B116-D8070FBFC575}" uniqueName="7" name="dépôt bloquer beni tamou" queryTableFieldId="49"/>
    <tableColumn id="5" xr3:uid="{F21BE027-63D5-4A00-BDD6-FB144C66B374}" uniqueName="5" name="Pallete CONS" queryTableFieldId="47" dataDxfId="14">
      <calculatedColumnFormula>ROUNDUP(CAISSE[[#This Row],[MC CONSERVERIE]]/100,0)</calculatedColumnFormula>
    </tableColumn>
    <tableColumn id="6" xr3:uid="{51103C72-427E-472F-AAE5-C872D1E9B83B}" uniqueName="6" name="Palette BENITAMOU" queryTableFieldId="48" dataDxfId="13">
      <calculatedColumnFormula>ROUNDUP(CAISSE[[#This Row],[BENI TAMOU]]/100,0)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842A4B-CAB9-4678-AAA4-E90742A287F6}" name="BOITE" displayName="BOITE" ref="A1:K28" tableType="queryTable" totalsRowShown="0">
  <autoFilter ref="A1:K28" xr:uid="{6E842A4B-CAB9-4678-AAA4-E90742A287F6}">
    <filterColumn colId="1">
      <filters>
        <filter val="MDN"/>
      </filters>
    </filterColumn>
  </autoFilter>
  <tableColumns count="11">
    <tableColumn id="1" xr3:uid="{C1CC80B0-9419-4DA0-BB36-48E3DCACF978}" uniqueName="1" name="Famille" queryTableFieldId="1" dataDxfId="12"/>
    <tableColumn id="13" xr3:uid="{D2D57AED-64FC-4A5A-BF46-1C2C96C3F6ED}" uniqueName="13" name="Client" queryTableFieldId="20"/>
    <tableColumn id="12" xr3:uid="{80D1A428-F144-420E-AD64-D4EFFCF520A9}" uniqueName="12" name="Type Produit" queryTableFieldId="18"/>
    <tableColumn id="14" xr3:uid="{D4F40732-9C5C-4D22-885C-31D49870A102}" uniqueName="14" name="Product Size" queryTableFieldId="22"/>
    <tableColumn id="2" xr3:uid="{2BEEA559-9B1B-4129-BC24-D008A6304FE2}" uniqueName="2" name="Code" queryTableFieldId="2" dataDxfId="11"/>
    <tableColumn id="3" xr3:uid="{37F2079A-D305-4BD7-91A5-675A8EC0C6F7}" uniqueName="3" name="Libellé" queryTableFieldId="3" dataDxfId="10"/>
    <tableColumn id="4" xr3:uid="{3D250338-8433-4C5C-B768-738A262E89CA}" uniqueName="4" name="Qté Global" queryTableFieldId="4"/>
    <tableColumn id="5" xr3:uid="{45105EC6-652B-4CAE-A100-C26E4DF9E04D}" uniqueName="5" name="MC CONSERVERIE" queryTableFieldId="5"/>
    <tableColumn id="7" xr3:uid="{64B62345-32DE-4ACF-AC5A-F55D299D866D}" uniqueName="7" name="BENI TAMOU" queryTableFieldId="7"/>
    <tableColumn id="6" xr3:uid="{EF75D003-0861-46B4-9E0D-0015374F8C97}" uniqueName="6" name="UNITE DE PRODUCTION" queryTableFieldId="6"/>
    <tableColumn id="9" xr3:uid="{D06C0AC9-E724-4EA0-B54B-70EE4E2159ED}" uniqueName="9" name="dépôt bloquer beni tamou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166554-EBEC-4FE6-A499-25832AD75221}" name="Table5" displayName="Table5" ref="M1:O28" totalsRowShown="0" headerRowDxfId="9" dataDxfId="8">
  <autoFilter ref="M1:O28" xr:uid="{53166554-EBEC-4FE6-A499-25832AD75221}"/>
  <tableColumns count="3">
    <tableColumn id="1" xr3:uid="{550B975C-AC45-4095-B9BF-A860C24FBA70}" name="En Palette CONS" dataDxfId="7">
      <calculatedColumnFormula>ROUNDUP(IF(#REF!=  "800 GR",BOITE[[#This Row],[MC CONSERVERIE]]/1716,IF(#REF!=  "400 GR",BOITE[[#This Row],[MC CONSERVERIE]]/3456,BOITE[[#This Row],[MC CONSERVERIE]]/4800)),0)</calculatedColumnFormula>
    </tableColumn>
    <tableColumn id="2" xr3:uid="{26C7BBCE-B0CD-4421-9C9B-2F2A3893ADAD}" name="En Palette PROD" dataDxfId="6">
      <calculatedColumnFormula>ROUNDUP(IF(BOITE[[#This Row],[Code]]=  "800 GR",BOITE[[#This Row],[BENI TAMOU]]/1716,IF(BOITE[[#This Row],[Code]]=  "400 GR",BOITE[[#This Row],[BENI TAMOU]]/3456,BOITE[[#This Row],[BENI TAMOU]]/4800)),0)</calculatedColumnFormula>
    </tableColumn>
    <tableColumn id="3" xr3:uid="{20C7988E-349E-4388-AC03-A82E56889F4A}" name="En Palette BENI" dataDxfId="5">
      <calculatedColumnFormula>ROUNDUP(IF(BOITE[[#This Row],[Libellé]]=  "800 GR",BOITE[[#This Row],[BENI TAMOU]]/1716,IF(BOITE[[#This Row],[Libellé]]=  "400 GR",BOITE[[#This Row],[BENI TAMOU]]/3456,BOITE[[#This Row],[BENI TAMOU]]/4800)),0)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79B863-3432-4759-AFCC-AED27D9C4D30}" name="Sheet__9" displayName="Sheet__9" ref="A1:S39" tableType="queryTable" totalsRowShown="0">
  <autoFilter ref="A1:S39" xr:uid="{8579B863-3432-4759-AFCC-AED27D9C4D30}"/>
  <tableColumns count="19">
    <tableColumn id="3" xr3:uid="{87D5301C-50EA-47A2-B7CC-D0E14D462590}" uniqueName="3" name="Famille" queryTableFieldId="3" dataDxfId="4"/>
    <tableColumn id="19" xr3:uid="{9910216B-CA10-4858-BC86-2E280455696E}" uniqueName="19" name="Product Type" queryTableFieldId="19"/>
    <tableColumn id="1" xr3:uid="{1B131CCA-C10A-4234-A7F5-6024CCE9624A}" uniqueName="1" name="Code" queryTableFieldId="1" dataDxfId="3"/>
    <tableColumn id="2" xr3:uid="{F48D110C-FD1E-4D86-93B7-D4EE58AE7038}" uniqueName="2" name="Libellé" queryTableFieldId="2" dataDxfId="2"/>
    <tableColumn id="4" xr3:uid="{B7458579-B713-413D-BAA9-0F82382DC756}" uniqueName="4" name="Qté Global" queryTableFieldId="4"/>
    <tableColumn id="5" xr3:uid="{8A4518A6-12E6-47A8-8E47-7CAF1BCF4122}" uniqueName="5" name="Qté Min" queryTableFieldId="5"/>
    <tableColumn id="6" xr3:uid="{44F23736-AF66-43FD-A2B5-F0B9D3F797FF}" uniqueName="6" name="MAG PDR" queryTableFieldId="6"/>
    <tableColumn id="7" xr3:uid="{0C1D7706-762A-4F1B-95C7-1434CFAE78D6}" uniqueName="7" name="MC CONSERVERIE" queryTableFieldId="7"/>
    <tableColumn id="8" xr3:uid="{F20927D6-F9B5-4576-8E86-E2AAE44A42D3}" uniqueName="8" name="UNITE DE PRODUCTION" queryTableFieldId="8"/>
    <tableColumn id="9" xr3:uid="{EB560E55-5813-4C2C-8E0E-413FC85911DC}" uniqueName="9" name="SIDI YAHIA 1" queryTableFieldId="9"/>
    <tableColumn id="10" xr3:uid="{E8F1E259-383C-4DCF-AD5C-453315394142}" uniqueName="10" name="AVAR SIDI YAHIA 1" queryTableFieldId="10"/>
    <tableColumn id="11" xr3:uid="{4D892E54-FBAB-4C2C-8D67-B5086F77FCE9}" uniqueName="11" name="SIDI YAHIA 2" queryTableFieldId="11" dataDxfId="1"/>
    <tableColumn id="12" xr3:uid="{7955F5EA-0AEB-4A96-B5E4-EA4AC1CAB3E0}" uniqueName="12" name="AVAR SIDI YAHIA 2" queryTableFieldId="12" dataDxfId="0"/>
    <tableColumn id="13" xr3:uid="{78813240-7672-4173-A187-1737A96C90ED}" uniqueName="13" name="BORDJ 1" queryTableFieldId="13"/>
    <tableColumn id="14" xr3:uid="{1CFE861B-67C5-4523-A18D-EDE5027A6D55}" uniqueName="14" name="AVAR BORDJ 1" queryTableFieldId="14"/>
    <tableColumn id="15" xr3:uid="{27FE3AD5-63DD-4BF8-9DD2-E93FF3659B4F}" uniqueName="15" name="BORDJ 2" queryTableFieldId="15"/>
    <tableColumn id="16" xr3:uid="{CE8BDD61-0C79-4B68-8928-3D670C8FDF53}" uniqueName="16" name="AVAR BORDJ 2" queryTableFieldId="16"/>
    <tableColumn id="17" xr3:uid="{192EB598-2F20-46F2-A34C-32B4F65316C3}" uniqueName="17" name="BORDJ 3" queryTableFieldId="17"/>
    <tableColumn id="18" xr3:uid="{0ECD98F2-53C4-4D1C-8D30-7C1B766707CD}" uniqueName="18" name="BENI TAMOU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65E1-4CA6-43B4-83FD-56D7134CC9DD}">
  <dimension ref="A1:AY26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28.7109375" customWidth="1"/>
    <col min="2" max="2" width="14.5703125" customWidth="1"/>
    <col min="3" max="3" width="20.5703125" hidden="1" customWidth="1"/>
    <col min="4" max="4" width="9.85546875" customWidth="1"/>
    <col min="5" max="5" width="9.5703125" hidden="1" customWidth="1"/>
    <col min="6" max="6" width="22.85546875" customWidth="1"/>
    <col min="7" max="7" width="17" hidden="1" customWidth="1"/>
    <col min="8" max="9" width="10.28515625" hidden="1" customWidth="1"/>
    <col min="10" max="10" width="12.42578125" hidden="1" customWidth="1"/>
    <col min="11" max="11" width="10.5703125" hidden="1" customWidth="1"/>
    <col min="12" max="12" width="11.85546875" customWidth="1"/>
    <col min="13" max="13" width="10.5703125" hidden="1" customWidth="1"/>
    <col min="14" max="14" width="11.85546875" hidden="1" customWidth="1"/>
    <col min="15" max="15" width="14.140625" hidden="1" customWidth="1"/>
    <col min="16" max="16" width="19.85546875" hidden="1" customWidth="1"/>
    <col min="17" max="17" width="14.140625" hidden="1" customWidth="1"/>
    <col min="18" max="18" width="19.85546875" hidden="1" customWidth="1"/>
    <col min="19" max="19" width="10.42578125" hidden="1" customWidth="1"/>
    <col min="20" max="20" width="16" hidden="1" customWidth="1"/>
    <col min="21" max="21" width="10.42578125" hidden="1" customWidth="1"/>
    <col min="22" max="22" width="16" hidden="1" customWidth="1"/>
    <col min="23" max="23" width="10.42578125" hidden="1" customWidth="1"/>
    <col min="24" max="24" width="16" hidden="1" customWidth="1"/>
    <col min="25" max="25" width="14.5703125" hidden="1" customWidth="1"/>
    <col min="26" max="26" width="20.28515625" hidden="1" customWidth="1"/>
    <col min="27" max="27" width="12.140625" hidden="1" customWidth="1"/>
    <col min="28" max="28" width="17.7109375" hidden="1" customWidth="1"/>
    <col min="29" max="29" width="9.5703125" hidden="1" customWidth="1"/>
    <col min="30" max="30" width="15" hidden="1" customWidth="1"/>
    <col min="31" max="31" width="9.5703125" hidden="1" customWidth="1"/>
    <col min="32" max="32" width="20.5703125" hidden="1" customWidth="1"/>
    <col min="33" max="33" width="21.28515625" hidden="1" customWidth="1"/>
    <col min="34" max="34" width="18.5703125" hidden="1" customWidth="1"/>
    <col min="35" max="35" width="14" hidden="1" customWidth="1"/>
    <col min="36" max="36" width="17.7109375" hidden="1" customWidth="1"/>
    <col min="37" max="37" width="17" hidden="1" customWidth="1"/>
    <col min="38" max="38" width="16.7109375" hidden="1" customWidth="1"/>
    <col min="39" max="39" width="17.28515625" hidden="1" customWidth="1"/>
    <col min="40" max="40" width="18.140625" hidden="1" customWidth="1"/>
    <col min="41" max="41" width="20.85546875" hidden="1" customWidth="1"/>
    <col min="42" max="42" width="18.5703125" hidden="1" customWidth="1"/>
    <col min="43" max="43" width="16.42578125" hidden="1" customWidth="1"/>
    <col min="44" max="44" width="24.42578125" hidden="1" customWidth="1"/>
    <col min="45" max="45" width="13.85546875" hidden="1" customWidth="1"/>
    <col min="46" max="46" width="11.5703125" hidden="1" customWidth="1"/>
    <col min="47" max="47" width="19.5703125" hidden="1" customWidth="1"/>
    <col min="48" max="48" width="11.5703125" hidden="1" customWidth="1"/>
    <col min="49" max="49" width="19.5703125" hidden="1" customWidth="1"/>
    <col min="50" max="51" width="27" hidden="1" customWidth="1"/>
  </cols>
  <sheetData>
    <row r="1" spans="1:50" x14ac:dyDescent="0.25">
      <c r="A1" t="s">
        <v>0</v>
      </c>
      <c r="B1" t="s">
        <v>322</v>
      </c>
      <c r="C1" t="s">
        <v>318</v>
      </c>
      <c r="D1" t="s">
        <v>2</v>
      </c>
      <c r="E1" t="s">
        <v>319</v>
      </c>
      <c r="F1" t="s">
        <v>3</v>
      </c>
      <c r="G1" t="s">
        <v>4</v>
      </c>
      <c r="H1" t="s">
        <v>205</v>
      </c>
      <c r="I1" t="s">
        <v>206</v>
      </c>
      <c r="J1" t="s">
        <v>207</v>
      </c>
      <c r="K1" t="s">
        <v>208</v>
      </c>
      <c r="L1" t="s">
        <v>63</v>
      </c>
      <c r="M1" t="s">
        <v>209</v>
      </c>
      <c r="N1" t="s">
        <v>210</v>
      </c>
      <c r="O1" t="s">
        <v>5</v>
      </c>
      <c r="P1" t="s">
        <v>193</v>
      </c>
      <c r="Q1" t="s">
        <v>211</v>
      </c>
      <c r="R1" t="s">
        <v>212</v>
      </c>
      <c r="S1" t="s">
        <v>213</v>
      </c>
      <c r="T1" t="s">
        <v>214</v>
      </c>
      <c r="U1" t="s">
        <v>215</v>
      </c>
      <c r="V1" t="s">
        <v>216</v>
      </c>
      <c r="W1" t="s">
        <v>217</v>
      </c>
      <c r="X1" t="s">
        <v>218</v>
      </c>
      <c r="Y1" t="s">
        <v>219</v>
      </c>
      <c r="Z1" t="s">
        <v>220</v>
      </c>
      <c r="AA1" t="s">
        <v>221</v>
      </c>
      <c r="AB1" t="s">
        <v>222</v>
      </c>
      <c r="AC1" t="s">
        <v>223</v>
      </c>
      <c r="AD1" t="s">
        <v>224</v>
      </c>
      <c r="AE1" t="s">
        <v>225</v>
      </c>
      <c r="AF1" t="s">
        <v>226</v>
      </c>
      <c r="AG1" t="s">
        <v>6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204</v>
      </c>
    </row>
    <row r="2" spans="1:50" x14ac:dyDescent="0.25">
      <c r="A2" t="s">
        <v>244</v>
      </c>
      <c r="B2" t="s">
        <v>66</v>
      </c>
      <c r="C2" t="s">
        <v>320</v>
      </c>
      <c r="D2" t="s">
        <v>243</v>
      </c>
      <c r="E2">
        <v>29.3398</v>
      </c>
      <c r="F2" t="s">
        <v>245</v>
      </c>
      <c r="G2">
        <v>161.46369999999999</v>
      </c>
      <c r="H2">
        <v>0</v>
      </c>
      <c r="I2" t="b">
        <v>0</v>
      </c>
      <c r="J2" t="s">
        <v>246</v>
      </c>
      <c r="K2" t="s">
        <v>181</v>
      </c>
      <c r="L2">
        <v>6460</v>
      </c>
      <c r="M2">
        <v>0</v>
      </c>
      <c r="O2">
        <v>6460</v>
      </c>
      <c r="P2">
        <v>0</v>
      </c>
      <c r="S2" t="s">
        <v>181</v>
      </c>
      <c r="T2" t="s">
        <v>181</v>
      </c>
      <c r="Z2" t="s">
        <v>181</v>
      </c>
      <c r="AA2" t="s">
        <v>181</v>
      </c>
      <c r="AB2" t="s">
        <v>181</v>
      </c>
      <c r="AC2" t="s">
        <v>181</v>
      </c>
      <c r="AD2" t="s">
        <v>181</v>
      </c>
      <c r="AE2" t="s">
        <v>181</v>
      </c>
      <c r="AF2" t="s">
        <v>181</v>
      </c>
      <c r="AI2" t="s">
        <v>181</v>
      </c>
      <c r="AJ2" t="s">
        <v>181</v>
      </c>
      <c r="AK2" t="s">
        <v>181</v>
      </c>
      <c r="AS2" t="s">
        <v>181</v>
      </c>
      <c r="AU2" t="s">
        <v>181</v>
      </c>
      <c r="AW2" t="s">
        <v>181</v>
      </c>
      <c r="AX2" t="s">
        <v>181</v>
      </c>
    </row>
    <row r="3" spans="1:50" x14ac:dyDescent="0.25">
      <c r="A3" t="s">
        <v>244</v>
      </c>
      <c r="B3" t="s">
        <v>87</v>
      </c>
      <c r="C3" t="s">
        <v>320</v>
      </c>
      <c r="D3" t="s">
        <v>291</v>
      </c>
      <c r="E3">
        <v>29.3398</v>
      </c>
      <c r="F3" t="s">
        <v>292</v>
      </c>
      <c r="G3">
        <v>350</v>
      </c>
      <c r="H3">
        <v>0</v>
      </c>
      <c r="I3" t="b">
        <v>0</v>
      </c>
      <c r="J3" t="s">
        <v>293</v>
      </c>
      <c r="K3" t="s">
        <v>181</v>
      </c>
      <c r="L3">
        <v>0</v>
      </c>
      <c r="M3">
        <v>0</v>
      </c>
      <c r="O3">
        <v>0</v>
      </c>
      <c r="P3">
        <v>0</v>
      </c>
      <c r="S3" t="s">
        <v>181</v>
      </c>
      <c r="T3" t="s">
        <v>181</v>
      </c>
      <c r="Z3" t="s">
        <v>181</v>
      </c>
      <c r="AA3" t="s">
        <v>181</v>
      </c>
      <c r="AB3" t="s">
        <v>181</v>
      </c>
      <c r="AC3" t="s">
        <v>181</v>
      </c>
      <c r="AD3" t="s">
        <v>181</v>
      </c>
      <c r="AE3" t="s">
        <v>181</v>
      </c>
      <c r="AF3" t="s">
        <v>181</v>
      </c>
      <c r="AI3" t="s">
        <v>181</v>
      </c>
      <c r="AJ3" t="s">
        <v>181</v>
      </c>
      <c r="AK3" t="s">
        <v>181</v>
      </c>
      <c r="AS3" t="s">
        <v>181</v>
      </c>
      <c r="AU3" t="s">
        <v>181</v>
      </c>
      <c r="AW3" t="s">
        <v>181</v>
      </c>
      <c r="AX3" t="s">
        <v>181</v>
      </c>
    </row>
    <row r="4" spans="1:50" x14ac:dyDescent="0.25">
      <c r="A4" t="s">
        <v>244</v>
      </c>
      <c r="B4" t="s">
        <v>87</v>
      </c>
      <c r="C4" t="s">
        <v>320</v>
      </c>
      <c r="D4" t="s">
        <v>247</v>
      </c>
      <c r="E4">
        <v>29.3398</v>
      </c>
      <c r="F4" t="s">
        <v>248</v>
      </c>
      <c r="G4">
        <v>760.6662</v>
      </c>
      <c r="H4">
        <v>0</v>
      </c>
      <c r="I4" t="b">
        <v>0</v>
      </c>
      <c r="J4" t="s">
        <v>249</v>
      </c>
      <c r="K4" t="s">
        <v>181</v>
      </c>
      <c r="L4">
        <v>1503</v>
      </c>
      <c r="M4">
        <v>0</v>
      </c>
      <c r="O4">
        <v>1503</v>
      </c>
      <c r="P4">
        <v>0</v>
      </c>
      <c r="S4" t="s">
        <v>181</v>
      </c>
      <c r="T4" t="s">
        <v>181</v>
      </c>
      <c r="Z4" t="s">
        <v>181</v>
      </c>
      <c r="AA4" t="s">
        <v>181</v>
      </c>
      <c r="AB4" t="s">
        <v>181</v>
      </c>
      <c r="AC4" t="s">
        <v>181</v>
      </c>
      <c r="AD4" t="s">
        <v>181</v>
      </c>
      <c r="AE4" t="s">
        <v>181</v>
      </c>
      <c r="AF4" t="s">
        <v>181</v>
      </c>
      <c r="AI4" t="s">
        <v>181</v>
      </c>
      <c r="AJ4" t="s">
        <v>181</v>
      </c>
      <c r="AK4" t="s">
        <v>181</v>
      </c>
      <c r="AS4" t="s">
        <v>181</v>
      </c>
      <c r="AU4" t="s">
        <v>181</v>
      </c>
      <c r="AW4" t="s">
        <v>181</v>
      </c>
      <c r="AX4" t="s">
        <v>181</v>
      </c>
    </row>
    <row r="5" spans="1:50" x14ac:dyDescent="0.25">
      <c r="A5" t="s">
        <v>244</v>
      </c>
      <c r="B5" t="s">
        <v>311</v>
      </c>
      <c r="C5" t="s">
        <v>320</v>
      </c>
      <c r="D5" t="s">
        <v>250</v>
      </c>
      <c r="E5">
        <v>29.3398</v>
      </c>
      <c r="F5" t="s">
        <v>251</v>
      </c>
      <c r="G5">
        <v>273.61</v>
      </c>
      <c r="H5">
        <v>0</v>
      </c>
      <c r="I5" t="b">
        <v>0</v>
      </c>
      <c r="J5" t="s">
        <v>252</v>
      </c>
      <c r="K5" t="s">
        <v>181</v>
      </c>
      <c r="L5">
        <v>100</v>
      </c>
      <c r="M5">
        <v>0</v>
      </c>
      <c r="O5">
        <v>100</v>
      </c>
      <c r="S5" t="s">
        <v>181</v>
      </c>
      <c r="T5" t="s">
        <v>181</v>
      </c>
      <c r="Z5" t="s">
        <v>181</v>
      </c>
      <c r="AA5" t="s">
        <v>181</v>
      </c>
      <c r="AB5" t="s">
        <v>181</v>
      </c>
      <c r="AC5" t="s">
        <v>181</v>
      </c>
      <c r="AD5" t="s">
        <v>181</v>
      </c>
      <c r="AE5" t="s">
        <v>181</v>
      </c>
      <c r="AF5" t="s">
        <v>181</v>
      </c>
      <c r="AI5" t="s">
        <v>181</v>
      </c>
      <c r="AJ5" t="s">
        <v>181</v>
      </c>
      <c r="AK5" t="s">
        <v>181</v>
      </c>
      <c r="AS5" t="s">
        <v>181</v>
      </c>
      <c r="AU5" t="s">
        <v>181</v>
      </c>
      <c r="AW5" t="s">
        <v>181</v>
      </c>
      <c r="AX5" t="s">
        <v>181</v>
      </c>
    </row>
    <row r="6" spans="1:50" x14ac:dyDescent="0.25">
      <c r="A6" t="s">
        <v>244</v>
      </c>
      <c r="B6" t="s">
        <v>87</v>
      </c>
      <c r="C6" t="s">
        <v>320</v>
      </c>
      <c r="D6" t="s">
        <v>253</v>
      </c>
      <c r="E6">
        <v>29.3398</v>
      </c>
      <c r="F6" t="s">
        <v>254</v>
      </c>
      <c r="G6">
        <v>402.14440000000002</v>
      </c>
      <c r="H6">
        <v>0</v>
      </c>
      <c r="I6" t="b">
        <v>0</v>
      </c>
      <c r="J6" t="s">
        <v>255</v>
      </c>
      <c r="K6" t="s">
        <v>181</v>
      </c>
      <c r="L6">
        <v>1114</v>
      </c>
      <c r="M6">
        <v>0</v>
      </c>
      <c r="O6">
        <v>1114</v>
      </c>
      <c r="P6">
        <v>0</v>
      </c>
      <c r="S6" t="s">
        <v>181</v>
      </c>
      <c r="T6" t="s">
        <v>181</v>
      </c>
      <c r="Z6" t="s">
        <v>181</v>
      </c>
      <c r="AA6" t="s">
        <v>181</v>
      </c>
      <c r="AB6" t="s">
        <v>181</v>
      </c>
      <c r="AC6" t="s">
        <v>181</v>
      </c>
      <c r="AD6" t="s">
        <v>181</v>
      </c>
      <c r="AE6" t="s">
        <v>181</v>
      </c>
      <c r="AF6" t="s">
        <v>181</v>
      </c>
      <c r="AI6" t="s">
        <v>181</v>
      </c>
      <c r="AJ6" t="s">
        <v>181</v>
      </c>
      <c r="AK6" t="s">
        <v>181</v>
      </c>
      <c r="AS6" t="s">
        <v>181</v>
      </c>
      <c r="AU6" t="s">
        <v>181</v>
      </c>
      <c r="AW6" t="s">
        <v>181</v>
      </c>
      <c r="AX6" t="s">
        <v>181</v>
      </c>
    </row>
    <row r="7" spans="1:50" x14ac:dyDescent="0.25">
      <c r="A7" t="s">
        <v>244</v>
      </c>
      <c r="B7" t="s">
        <v>311</v>
      </c>
      <c r="C7" t="s">
        <v>320</v>
      </c>
      <c r="D7" t="s">
        <v>256</v>
      </c>
      <c r="E7">
        <v>29.3398</v>
      </c>
      <c r="F7" t="s">
        <v>257</v>
      </c>
      <c r="G7">
        <v>1</v>
      </c>
      <c r="H7">
        <v>0</v>
      </c>
      <c r="I7" t="b">
        <v>0</v>
      </c>
      <c r="J7" t="s">
        <v>258</v>
      </c>
      <c r="K7" t="s">
        <v>181</v>
      </c>
      <c r="L7">
        <v>72</v>
      </c>
      <c r="M7">
        <v>0</v>
      </c>
      <c r="O7">
        <v>72</v>
      </c>
      <c r="P7">
        <v>0</v>
      </c>
      <c r="S7" t="s">
        <v>181</v>
      </c>
      <c r="T7" t="s">
        <v>181</v>
      </c>
      <c r="Z7" t="s">
        <v>181</v>
      </c>
      <c r="AA7" t="s">
        <v>181</v>
      </c>
      <c r="AB7" t="s">
        <v>181</v>
      </c>
      <c r="AC7" t="s">
        <v>181</v>
      </c>
      <c r="AD7" t="s">
        <v>181</v>
      </c>
      <c r="AE7" t="s">
        <v>181</v>
      </c>
      <c r="AF7" t="s">
        <v>181</v>
      </c>
      <c r="AI7" t="s">
        <v>181</v>
      </c>
      <c r="AJ7" t="s">
        <v>181</v>
      </c>
      <c r="AK7" t="s">
        <v>181</v>
      </c>
      <c r="AS7" t="s">
        <v>181</v>
      </c>
      <c r="AU7" t="s">
        <v>181</v>
      </c>
      <c r="AW7" t="s">
        <v>181</v>
      </c>
      <c r="AX7" t="s">
        <v>181</v>
      </c>
    </row>
    <row r="8" spans="1:50" x14ac:dyDescent="0.25">
      <c r="A8" t="s">
        <v>244</v>
      </c>
      <c r="B8" t="s">
        <v>87</v>
      </c>
      <c r="C8" t="s">
        <v>320</v>
      </c>
      <c r="D8" t="s">
        <v>259</v>
      </c>
      <c r="E8">
        <v>29.3398</v>
      </c>
      <c r="F8" t="s">
        <v>260</v>
      </c>
      <c r="G8">
        <v>1</v>
      </c>
      <c r="H8">
        <v>0</v>
      </c>
      <c r="I8" t="b">
        <v>0</v>
      </c>
      <c r="J8" t="s">
        <v>261</v>
      </c>
      <c r="K8" t="s">
        <v>181</v>
      </c>
      <c r="L8">
        <v>1228</v>
      </c>
      <c r="M8">
        <v>0</v>
      </c>
      <c r="O8">
        <v>1228</v>
      </c>
      <c r="P8">
        <v>0</v>
      </c>
      <c r="S8" t="s">
        <v>181</v>
      </c>
      <c r="T8" t="s">
        <v>181</v>
      </c>
      <c r="Z8" t="s">
        <v>181</v>
      </c>
      <c r="AA8" t="s">
        <v>181</v>
      </c>
      <c r="AB8" t="s">
        <v>181</v>
      </c>
      <c r="AC8" t="s">
        <v>181</v>
      </c>
      <c r="AD8" t="s">
        <v>181</v>
      </c>
      <c r="AE8" t="s">
        <v>181</v>
      </c>
      <c r="AF8" t="s">
        <v>181</v>
      </c>
      <c r="AI8" t="s">
        <v>181</v>
      </c>
      <c r="AJ8" t="s">
        <v>181</v>
      </c>
      <c r="AK8" t="s">
        <v>181</v>
      </c>
      <c r="AS8" t="s">
        <v>181</v>
      </c>
      <c r="AU8" t="s">
        <v>181</v>
      </c>
      <c r="AW8" t="s">
        <v>181</v>
      </c>
      <c r="AX8" t="s">
        <v>181</v>
      </c>
    </row>
    <row r="9" spans="1:50" x14ac:dyDescent="0.25">
      <c r="A9" t="s">
        <v>244</v>
      </c>
      <c r="B9" t="s">
        <v>311</v>
      </c>
      <c r="C9" t="s">
        <v>320</v>
      </c>
      <c r="D9" t="s">
        <v>283</v>
      </c>
      <c r="E9">
        <v>29.3398</v>
      </c>
      <c r="F9" t="s">
        <v>284</v>
      </c>
      <c r="G9">
        <v>1909.8856000000001</v>
      </c>
      <c r="H9">
        <v>0</v>
      </c>
      <c r="I9" t="b">
        <v>0</v>
      </c>
      <c r="J9" t="s">
        <v>285</v>
      </c>
      <c r="K9" t="s">
        <v>181</v>
      </c>
      <c r="L9">
        <v>0</v>
      </c>
      <c r="M9">
        <v>0</v>
      </c>
      <c r="O9">
        <v>0</v>
      </c>
      <c r="P9">
        <v>0</v>
      </c>
      <c r="S9" t="s">
        <v>181</v>
      </c>
      <c r="T9" t="s">
        <v>181</v>
      </c>
      <c r="Z9" t="s">
        <v>181</v>
      </c>
      <c r="AA9" t="s">
        <v>181</v>
      </c>
      <c r="AB9" t="s">
        <v>181</v>
      </c>
      <c r="AC9" t="s">
        <v>181</v>
      </c>
      <c r="AD9" t="s">
        <v>181</v>
      </c>
      <c r="AE9" t="s">
        <v>181</v>
      </c>
      <c r="AF9" t="s">
        <v>181</v>
      </c>
      <c r="AI9" t="s">
        <v>181</v>
      </c>
      <c r="AJ9" t="s">
        <v>181</v>
      </c>
      <c r="AK9" t="s">
        <v>181</v>
      </c>
      <c r="AS9" t="s">
        <v>181</v>
      </c>
      <c r="AU9" t="s">
        <v>181</v>
      </c>
      <c r="AW9" t="s">
        <v>181</v>
      </c>
      <c r="AX9" t="s">
        <v>181</v>
      </c>
    </row>
    <row r="10" spans="1:50" x14ac:dyDescent="0.25">
      <c r="A10" t="s">
        <v>244</v>
      </c>
      <c r="B10" t="s">
        <v>87</v>
      </c>
      <c r="C10" t="s">
        <v>320</v>
      </c>
      <c r="D10" t="s">
        <v>262</v>
      </c>
      <c r="E10">
        <v>29.3398</v>
      </c>
      <c r="F10" t="s">
        <v>263</v>
      </c>
      <c r="G10">
        <v>11.9999</v>
      </c>
      <c r="H10">
        <v>0</v>
      </c>
      <c r="I10" t="b">
        <v>0</v>
      </c>
      <c r="J10" t="s">
        <v>264</v>
      </c>
      <c r="K10" t="s">
        <v>181</v>
      </c>
      <c r="L10">
        <v>36325</v>
      </c>
      <c r="M10">
        <v>0</v>
      </c>
      <c r="O10">
        <v>36325</v>
      </c>
      <c r="P10">
        <v>0</v>
      </c>
      <c r="S10" t="s">
        <v>181</v>
      </c>
      <c r="T10" t="s">
        <v>181</v>
      </c>
      <c r="Z10" t="s">
        <v>181</v>
      </c>
      <c r="AA10" t="s">
        <v>181</v>
      </c>
      <c r="AB10" t="s">
        <v>181</v>
      </c>
      <c r="AC10" t="s">
        <v>181</v>
      </c>
      <c r="AD10" t="s">
        <v>181</v>
      </c>
      <c r="AE10" t="s">
        <v>181</v>
      </c>
      <c r="AF10" t="s">
        <v>181</v>
      </c>
      <c r="AI10" t="s">
        <v>181</v>
      </c>
      <c r="AJ10" t="s">
        <v>181</v>
      </c>
      <c r="AK10" t="s">
        <v>181</v>
      </c>
      <c r="AS10" t="s">
        <v>181</v>
      </c>
      <c r="AU10" t="s">
        <v>181</v>
      </c>
      <c r="AW10" t="s">
        <v>181</v>
      </c>
      <c r="AX10" t="s">
        <v>181</v>
      </c>
    </row>
    <row r="11" spans="1:50" x14ac:dyDescent="0.25">
      <c r="A11" t="s">
        <v>244</v>
      </c>
      <c r="B11" t="s">
        <v>66</v>
      </c>
      <c r="C11" t="s">
        <v>320</v>
      </c>
      <c r="D11" t="s">
        <v>265</v>
      </c>
      <c r="E11">
        <v>29.3398</v>
      </c>
      <c r="F11" t="s">
        <v>266</v>
      </c>
      <c r="G11">
        <v>88.808800000000005</v>
      </c>
      <c r="H11">
        <v>0</v>
      </c>
      <c r="I11" t="b">
        <v>0</v>
      </c>
      <c r="J11" t="s">
        <v>267</v>
      </c>
      <c r="K11" t="s">
        <v>181</v>
      </c>
      <c r="L11">
        <v>48400</v>
      </c>
      <c r="M11">
        <v>0</v>
      </c>
      <c r="O11">
        <v>48400</v>
      </c>
      <c r="P11">
        <v>0</v>
      </c>
      <c r="S11" t="s">
        <v>181</v>
      </c>
      <c r="T11" t="s">
        <v>181</v>
      </c>
      <c r="Z11" t="s">
        <v>181</v>
      </c>
      <c r="AA11" t="s">
        <v>181</v>
      </c>
      <c r="AB11" t="s">
        <v>181</v>
      </c>
      <c r="AC11" t="s">
        <v>181</v>
      </c>
      <c r="AD11" t="s">
        <v>181</v>
      </c>
      <c r="AE11" t="s">
        <v>181</v>
      </c>
      <c r="AF11" t="s">
        <v>181</v>
      </c>
      <c r="AI11" t="s">
        <v>181</v>
      </c>
      <c r="AJ11" t="s">
        <v>181</v>
      </c>
      <c r="AK11" t="s">
        <v>181</v>
      </c>
      <c r="AS11" t="s">
        <v>181</v>
      </c>
      <c r="AU11" t="s">
        <v>181</v>
      </c>
      <c r="AW11" t="s">
        <v>181</v>
      </c>
      <c r="AX11" t="s">
        <v>181</v>
      </c>
    </row>
    <row r="12" spans="1:50" x14ac:dyDescent="0.25">
      <c r="A12" t="s">
        <v>244</v>
      </c>
      <c r="B12" t="s">
        <v>311</v>
      </c>
      <c r="C12" t="s">
        <v>320</v>
      </c>
      <c r="D12" t="s">
        <v>268</v>
      </c>
      <c r="E12">
        <v>29.3398</v>
      </c>
      <c r="F12" t="s">
        <v>269</v>
      </c>
      <c r="G12">
        <v>1145.55</v>
      </c>
      <c r="H12">
        <v>0</v>
      </c>
      <c r="I12" t="b">
        <v>0</v>
      </c>
      <c r="J12" t="s">
        <v>181</v>
      </c>
      <c r="K12" t="s">
        <v>181</v>
      </c>
      <c r="L12">
        <v>6200</v>
      </c>
      <c r="M12">
        <v>0</v>
      </c>
      <c r="O12">
        <v>6200</v>
      </c>
      <c r="S12" t="s">
        <v>181</v>
      </c>
      <c r="T12" t="s">
        <v>181</v>
      </c>
      <c r="Z12" t="s">
        <v>181</v>
      </c>
      <c r="AA12" t="s">
        <v>181</v>
      </c>
      <c r="AB12" t="s">
        <v>181</v>
      </c>
      <c r="AC12" t="s">
        <v>181</v>
      </c>
      <c r="AD12" t="s">
        <v>181</v>
      </c>
      <c r="AE12" t="s">
        <v>181</v>
      </c>
      <c r="AF12" t="s">
        <v>181</v>
      </c>
      <c r="AI12" t="s">
        <v>181</v>
      </c>
      <c r="AJ12" t="s">
        <v>181</v>
      </c>
      <c r="AK12" t="s">
        <v>181</v>
      </c>
      <c r="AS12" t="s">
        <v>181</v>
      </c>
      <c r="AU12" t="s">
        <v>181</v>
      </c>
      <c r="AW12" t="s">
        <v>181</v>
      </c>
      <c r="AX12" t="s">
        <v>181</v>
      </c>
    </row>
    <row r="13" spans="1:50" x14ac:dyDescent="0.25">
      <c r="A13" t="s">
        <v>244</v>
      </c>
      <c r="B13" t="s">
        <v>311</v>
      </c>
      <c r="C13" t="s">
        <v>320</v>
      </c>
      <c r="D13" t="s">
        <v>270</v>
      </c>
      <c r="E13">
        <v>29.3398</v>
      </c>
      <c r="F13" t="s">
        <v>271</v>
      </c>
      <c r="G13">
        <v>1145.5501999999999</v>
      </c>
      <c r="H13">
        <v>0</v>
      </c>
      <c r="I13" t="b">
        <v>0</v>
      </c>
      <c r="J13" t="s">
        <v>181</v>
      </c>
      <c r="K13" t="s">
        <v>181</v>
      </c>
      <c r="L13">
        <v>500</v>
      </c>
      <c r="M13">
        <v>0</v>
      </c>
      <c r="O13">
        <v>500</v>
      </c>
      <c r="S13" t="s">
        <v>181</v>
      </c>
      <c r="T13" t="s">
        <v>181</v>
      </c>
      <c r="Z13" t="s">
        <v>181</v>
      </c>
      <c r="AA13" t="s">
        <v>181</v>
      </c>
      <c r="AB13" t="s">
        <v>181</v>
      </c>
      <c r="AC13" t="s">
        <v>181</v>
      </c>
      <c r="AD13" t="s">
        <v>181</v>
      </c>
      <c r="AE13" t="s">
        <v>181</v>
      </c>
      <c r="AF13" t="s">
        <v>181</v>
      </c>
      <c r="AI13" t="s">
        <v>181</v>
      </c>
      <c r="AJ13" t="s">
        <v>181</v>
      </c>
      <c r="AK13" t="s">
        <v>181</v>
      </c>
      <c r="AS13" t="s">
        <v>181</v>
      </c>
      <c r="AU13" t="s">
        <v>181</v>
      </c>
      <c r="AW13" t="s">
        <v>181</v>
      </c>
      <c r="AX13" t="s">
        <v>181</v>
      </c>
    </row>
    <row r="14" spans="1:50" x14ac:dyDescent="0.25">
      <c r="A14" t="s">
        <v>244</v>
      </c>
      <c r="B14" t="s">
        <v>66</v>
      </c>
      <c r="C14" t="s">
        <v>320</v>
      </c>
      <c r="D14" t="s">
        <v>272</v>
      </c>
      <c r="E14">
        <v>29.3398</v>
      </c>
      <c r="F14" t="s">
        <v>273</v>
      </c>
      <c r="G14">
        <v>1464.2814000000001</v>
      </c>
      <c r="H14">
        <v>0</v>
      </c>
      <c r="I14" t="b">
        <v>0</v>
      </c>
      <c r="J14" t="s">
        <v>181</v>
      </c>
      <c r="K14" t="s">
        <v>181</v>
      </c>
      <c r="L14">
        <v>5236</v>
      </c>
      <c r="M14">
        <v>0</v>
      </c>
      <c r="O14">
        <v>5236</v>
      </c>
      <c r="P14">
        <v>0</v>
      </c>
      <c r="S14" t="s">
        <v>181</v>
      </c>
      <c r="T14" t="s">
        <v>181</v>
      </c>
      <c r="Z14" t="s">
        <v>181</v>
      </c>
      <c r="AA14" t="s">
        <v>181</v>
      </c>
      <c r="AB14" t="s">
        <v>181</v>
      </c>
      <c r="AC14" t="s">
        <v>181</v>
      </c>
      <c r="AD14" t="s">
        <v>181</v>
      </c>
      <c r="AE14" t="s">
        <v>181</v>
      </c>
      <c r="AF14" t="s">
        <v>181</v>
      </c>
      <c r="AI14" t="s">
        <v>181</v>
      </c>
      <c r="AJ14" t="s">
        <v>181</v>
      </c>
      <c r="AK14" t="s">
        <v>181</v>
      </c>
      <c r="AS14" t="s">
        <v>181</v>
      </c>
      <c r="AU14" t="s">
        <v>181</v>
      </c>
      <c r="AW14" t="s">
        <v>181</v>
      </c>
      <c r="AX14" t="s">
        <v>181</v>
      </c>
    </row>
    <row r="15" spans="1:50" x14ac:dyDescent="0.25">
      <c r="A15" t="s">
        <v>244</v>
      </c>
      <c r="B15" t="s">
        <v>311</v>
      </c>
      <c r="C15" t="s">
        <v>320</v>
      </c>
      <c r="D15" t="s">
        <v>274</v>
      </c>
      <c r="E15">
        <v>29.3398</v>
      </c>
      <c r="F15" t="s">
        <v>275</v>
      </c>
      <c r="G15">
        <v>100.84</v>
      </c>
      <c r="H15">
        <v>0</v>
      </c>
      <c r="I15" t="b">
        <v>0</v>
      </c>
      <c r="J15" t="s">
        <v>181</v>
      </c>
      <c r="K15" t="s">
        <v>181</v>
      </c>
      <c r="L15">
        <v>100</v>
      </c>
      <c r="M15">
        <v>0</v>
      </c>
      <c r="O15">
        <v>100</v>
      </c>
      <c r="S15" t="s">
        <v>181</v>
      </c>
      <c r="T15" t="s">
        <v>181</v>
      </c>
      <c r="Z15" t="s">
        <v>181</v>
      </c>
      <c r="AA15" t="s">
        <v>181</v>
      </c>
      <c r="AB15" t="s">
        <v>181</v>
      </c>
      <c r="AC15" t="s">
        <v>181</v>
      </c>
      <c r="AD15" t="s">
        <v>181</v>
      </c>
      <c r="AE15" t="s">
        <v>181</v>
      </c>
      <c r="AF15" t="s">
        <v>181</v>
      </c>
      <c r="AI15" t="s">
        <v>181</v>
      </c>
      <c r="AJ15" t="s">
        <v>181</v>
      </c>
      <c r="AK15" t="s">
        <v>181</v>
      </c>
      <c r="AS15" t="s">
        <v>181</v>
      </c>
      <c r="AU15" t="s">
        <v>181</v>
      </c>
      <c r="AW15" t="s">
        <v>181</v>
      </c>
      <c r="AX15" t="s">
        <v>181</v>
      </c>
    </row>
    <row r="16" spans="1:50" x14ac:dyDescent="0.25">
      <c r="A16" t="s">
        <v>244</v>
      </c>
      <c r="B16" t="s">
        <v>311</v>
      </c>
      <c r="C16" t="s">
        <v>320</v>
      </c>
      <c r="D16" t="s">
        <v>276</v>
      </c>
      <c r="E16">
        <v>29.3398</v>
      </c>
      <c r="F16" t="s">
        <v>277</v>
      </c>
      <c r="G16">
        <v>4.7</v>
      </c>
      <c r="H16">
        <v>0</v>
      </c>
      <c r="I16" t="b">
        <v>0</v>
      </c>
      <c r="J16" t="s">
        <v>181</v>
      </c>
      <c r="K16" t="s">
        <v>181</v>
      </c>
      <c r="L16">
        <v>0</v>
      </c>
      <c r="M16">
        <v>0</v>
      </c>
      <c r="S16" t="s">
        <v>181</v>
      </c>
      <c r="T16" t="s">
        <v>181</v>
      </c>
      <c r="Z16" t="s">
        <v>181</v>
      </c>
      <c r="AA16" t="s">
        <v>181</v>
      </c>
      <c r="AB16" t="s">
        <v>181</v>
      </c>
      <c r="AC16" t="s">
        <v>181</v>
      </c>
      <c r="AD16" t="s">
        <v>181</v>
      </c>
      <c r="AE16" t="s">
        <v>181</v>
      </c>
      <c r="AF16" t="s">
        <v>181</v>
      </c>
      <c r="AI16" t="s">
        <v>181</v>
      </c>
      <c r="AJ16" t="s">
        <v>181</v>
      </c>
      <c r="AK16" t="s">
        <v>181</v>
      </c>
      <c r="AS16" t="s">
        <v>181</v>
      </c>
      <c r="AU16" t="s">
        <v>181</v>
      </c>
      <c r="AW16" t="s">
        <v>181</v>
      </c>
      <c r="AX16" t="s">
        <v>181</v>
      </c>
    </row>
    <row r="17" spans="1:50" x14ac:dyDescent="0.25">
      <c r="A17" t="s">
        <v>244</v>
      </c>
      <c r="B17" t="s">
        <v>311</v>
      </c>
      <c r="C17" t="s">
        <v>320</v>
      </c>
      <c r="D17" t="s">
        <v>278</v>
      </c>
      <c r="E17">
        <v>29.3398</v>
      </c>
      <c r="F17" t="s">
        <v>279</v>
      </c>
      <c r="G17">
        <v>0</v>
      </c>
      <c r="H17">
        <v>0</v>
      </c>
      <c r="I17" t="b">
        <v>0</v>
      </c>
      <c r="J17" t="s">
        <v>181</v>
      </c>
      <c r="K17" t="s">
        <v>181</v>
      </c>
      <c r="L17">
        <v>0</v>
      </c>
      <c r="M17">
        <v>0</v>
      </c>
      <c r="S17" t="s">
        <v>181</v>
      </c>
      <c r="T17" t="s">
        <v>181</v>
      </c>
      <c r="Z17" t="s">
        <v>181</v>
      </c>
      <c r="AA17" t="s">
        <v>181</v>
      </c>
      <c r="AB17" t="s">
        <v>181</v>
      </c>
      <c r="AC17" t="s">
        <v>181</v>
      </c>
      <c r="AD17" t="s">
        <v>181</v>
      </c>
      <c r="AE17" t="s">
        <v>181</v>
      </c>
      <c r="AF17" t="s">
        <v>181</v>
      </c>
      <c r="AI17" t="s">
        <v>181</v>
      </c>
      <c r="AJ17" t="s">
        <v>181</v>
      </c>
      <c r="AK17" t="s">
        <v>181</v>
      </c>
      <c r="AS17" t="s">
        <v>181</v>
      </c>
      <c r="AU17" t="s">
        <v>181</v>
      </c>
      <c r="AW17" t="s">
        <v>181</v>
      </c>
      <c r="AX17" t="s">
        <v>181</v>
      </c>
    </row>
    <row r="18" spans="1:50" x14ac:dyDescent="0.25">
      <c r="A18" t="s">
        <v>244</v>
      </c>
      <c r="B18" t="s">
        <v>311</v>
      </c>
      <c r="C18" t="s">
        <v>320</v>
      </c>
      <c r="D18" t="s">
        <v>280</v>
      </c>
      <c r="E18">
        <v>29.3398</v>
      </c>
      <c r="F18" t="s">
        <v>281</v>
      </c>
      <c r="G18">
        <v>0</v>
      </c>
      <c r="H18">
        <v>0</v>
      </c>
      <c r="I18" t="b">
        <v>0</v>
      </c>
      <c r="J18" t="s">
        <v>282</v>
      </c>
      <c r="K18" t="s">
        <v>181</v>
      </c>
      <c r="L18">
        <v>0</v>
      </c>
      <c r="M18">
        <v>0</v>
      </c>
      <c r="S18" t="s">
        <v>181</v>
      </c>
      <c r="T18" t="s">
        <v>181</v>
      </c>
      <c r="Z18" t="s">
        <v>181</v>
      </c>
      <c r="AA18" t="s">
        <v>181</v>
      </c>
      <c r="AB18" t="s">
        <v>181</v>
      </c>
      <c r="AC18" t="s">
        <v>181</v>
      </c>
      <c r="AD18" t="s">
        <v>181</v>
      </c>
      <c r="AE18" t="s">
        <v>181</v>
      </c>
      <c r="AF18" t="s">
        <v>181</v>
      </c>
      <c r="AI18" t="s">
        <v>181</v>
      </c>
      <c r="AJ18" t="s">
        <v>181</v>
      </c>
      <c r="AK18" t="s">
        <v>181</v>
      </c>
      <c r="AS18" t="s">
        <v>181</v>
      </c>
      <c r="AU18" t="s">
        <v>181</v>
      </c>
      <c r="AW18" t="s">
        <v>181</v>
      </c>
      <c r="AX18" t="s">
        <v>181</v>
      </c>
    </row>
    <row r="19" spans="1:50" x14ac:dyDescent="0.25">
      <c r="A19" t="s">
        <v>244</v>
      </c>
      <c r="B19" t="s">
        <v>311</v>
      </c>
      <c r="C19" t="s">
        <v>320</v>
      </c>
      <c r="D19" t="s">
        <v>286</v>
      </c>
      <c r="E19">
        <v>29.3398</v>
      </c>
      <c r="F19" t="s">
        <v>287</v>
      </c>
      <c r="G19">
        <v>735</v>
      </c>
      <c r="H19">
        <v>0</v>
      </c>
      <c r="I19" t="b">
        <v>0</v>
      </c>
      <c r="J19" t="s">
        <v>181</v>
      </c>
      <c r="K19" t="s">
        <v>181</v>
      </c>
      <c r="L19">
        <v>0</v>
      </c>
      <c r="M19">
        <v>0</v>
      </c>
      <c r="S19" t="s">
        <v>181</v>
      </c>
      <c r="T19" t="s">
        <v>181</v>
      </c>
      <c r="Z19" t="s">
        <v>181</v>
      </c>
      <c r="AA19" t="s">
        <v>181</v>
      </c>
      <c r="AB19" t="s">
        <v>181</v>
      </c>
      <c r="AC19" t="s">
        <v>181</v>
      </c>
      <c r="AD19" t="s">
        <v>181</v>
      </c>
      <c r="AE19" t="s">
        <v>181</v>
      </c>
      <c r="AF19" t="s">
        <v>181</v>
      </c>
      <c r="AI19" t="s">
        <v>181</v>
      </c>
      <c r="AJ19" t="s">
        <v>181</v>
      </c>
      <c r="AK19" t="s">
        <v>181</v>
      </c>
      <c r="AS19" t="s">
        <v>181</v>
      </c>
      <c r="AU19" t="s">
        <v>181</v>
      </c>
      <c r="AW19" t="s">
        <v>181</v>
      </c>
      <c r="AX19" t="s">
        <v>181</v>
      </c>
    </row>
    <row r="20" spans="1:50" x14ac:dyDescent="0.25">
      <c r="A20" t="s">
        <v>244</v>
      </c>
      <c r="B20" t="s">
        <v>311</v>
      </c>
      <c r="C20" t="s">
        <v>320</v>
      </c>
      <c r="D20" t="s">
        <v>288</v>
      </c>
      <c r="E20">
        <v>29.3398</v>
      </c>
      <c r="F20" t="s">
        <v>289</v>
      </c>
      <c r="G20">
        <v>0</v>
      </c>
      <c r="H20">
        <v>0</v>
      </c>
      <c r="I20" t="b">
        <v>0</v>
      </c>
      <c r="J20" t="s">
        <v>290</v>
      </c>
      <c r="K20" t="s">
        <v>181</v>
      </c>
      <c r="L20">
        <v>0</v>
      </c>
      <c r="M20">
        <v>0</v>
      </c>
      <c r="S20" t="s">
        <v>181</v>
      </c>
      <c r="T20" t="s">
        <v>181</v>
      </c>
      <c r="Z20" t="s">
        <v>181</v>
      </c>
      <c r="AA20" t="s">
        <v>181</v>
      </c>
      <c r="AB20" t="s">
        <v>181</v>
      </c>
      <c r="AC20" t="s">
        <v>181</v>
      </c>
      <c r="AD20" t="s">
        <v>181</v>
      </c>
      <c r="AE20" t="s">
        <v>181</v>
      </c>
      <c r="AF20" t="s">
        <v>181</v>
      </c>
      <c r="AI20" t="s">
        <v>181</v>
      </c>
      <c r="AJ20" t="s">
        <v>181</v>
      </c>
      <c r="AK20" t="s">
        <v>181</v>
      </c>
      <c r="AS20" t="s">
        <v>181</v>
      </c>
      <c r="AU20" t="s">
        <v>181</v>
      </c>
      <c r="AW20" t="s">
        <v>181</v>
      </c>
      <c r="AX20" t="s">
        <v>181</v>
      </c>
    </row>
    <row r="21" spans="1:50" x14ac:dyDescent="0.25">
      <c r="A21" t="s">
        <v>244</v>
      </c>
      <c r="B21" t="s">
        <v>311</v>
      </c>
      <c r="C21" t="s">
        <v>320</v>
      </c>
      <c r="D21" t="s">
        <v>294</v>
      </c>
      <c r="E21">
        <v>29.3398</v>
      </c>
      <c r="F21" t="s">
        <v>295</v>
      </c>
      <c r="G21">
        <v>0</v>
      </c>
      <c r="H21">
        <v>0</v>
      </c>
      <c r="I21" t="b">
        <v>0</v>
      </c>
      <c r="J21" t="s">
        <v>296</v>
      </c>
      <c r="K21" t="s">
        <v>181</v>
      </c>
      <c r="L21">
        <v>0</v>
      </c>
      <c r="M21">
        <v>0</v>
      </c>
      <c r="S21" t="s">
        <v>181</v>
      </c>
      <c r="T21" t="s">
        <v>181</v>
      </c>
      <c r="Z21" t="s">
        <v>181</v>
      </c>
      <c r="AA21" t="s">
        <v>181</v>
      </c>
      <c r="AB21" t="s">
        <v>181</v>
      </c>
      <c r="AC21" t="s">
        <v>181</v>
      </c>
      <c r="AD21" t="s">
        <v>181</v>
      </c>
      <c r="AE21" t="s">
        <v>181</v>
      </c>
      <c r="AF21" t="s">
        <v>181</v>
      </c>
      <c r="AI21" t="s">
        <v>181</v>
      </c>
      <c r="AJ21" t="s">
        <v>181</v>
      </c>
      <c r="AK21" t="s">
        <v>181</v>
      </c>
      <c r="AS21" t="s">
        <v>181</v>
      </c>
      <c r="AU21" t="s">
        <v>181</v>
      </c>
      <c r="AW21" t="s">
        <v>181</v>
      </c>
      <c r="AX21" t="s">
        <v>181</v>
      </c>
    </row>
    <row r="22" spans="1:50" x14ac:dyDescent="0.25">
      <c r="A22" t="s">
        <v>244</v>
      </c>
      <c r="B22" t="s">
        <v>311</v>
      </c>
      <c r="C22" t="s">
        <v>320</v>
      </c>
      <c r="D22" t="s">
        <v>297</v>
      </c>
      <c r="E22">
        <v>29.3398</v>
      </c>
      <c r="F22" t="s">
        <v>298</v>
      </c>
      <c r="G22">
        <v>256.37729999999999</v>
      </c>
      <c r="H22">
        <v>0</v>
      </c>
      <c r="I22" t="b">
        <v>0</v>
      </c>
      <c r="J22" t="s">
        <v>299</v>
      </c>
      <c r="K22" t="s">
        <v>181</v>
      </c>
      <c r="L22">
        <v>0</v>
      </c>
      <c r="M22">
        <v>0</v>
      </c>
      <c r="S22" t="s">
        <v>181</v>
      </c>
      <c r="T22" t="s">
        <v>181</v>
      </c>
      <c r="Z22" t="s">
        <v>181</v>
      </c>
      <c r="AA22" t="s">
        <v>181</v>
      </c>
      <c r="AB22" t="s">
        <v>181</v>
      </c>
      <c r="AC22" t="s">
        <v>181</v>
      </c>
      <c r="AD22" t="s">
        <v>181</v>
      </c>
      <c r="AE22" t="s">
        <v>181</v>
      </c>
      <c r="AF22" t="s">
        <v>181</v>
      </c>
      <c r="AI22" t="s">
        <v>181</v>
      </c>
      <c r="AJ22" t="s">
        <v>181</v>
      </c>
      <c r="AK22" t="s">
        <v>181</v>
      </c>
      <c r="AS22" t="s">
        <v>181</v>
      </c>
      <c r="AU22" t="s">
        <v>181</v>
      </c>
      <c r="AW22" t="s">
        <v>181</v>
      </c>
      <c r="AX22" t="s">
        <v>181</v>
      </c>
    </row>
    <row r="23" spans="1:50" x14ac:dyDescent="0.25">
      <c r="A23" t="s">
        <v>244</v>
      </c>
      <c r="B23" t="s">
        <v>311</v>
      </c>
      <c r="C23" t="s">
        <v>320</v>
      </c>
      <c r="D23" t="s">
        <v>300</v>
      </c>
      <c r="E23">
        <v>29.3398</v>
      </c>
      <c r="F23" t="s">
        <v>301</v>
      </c>
      <c r="G23">
        <v>0</v>
      </c>
      <c r="H23">
        <v>0</v>
      </c>
      <c r="I23" t="b">
        <v>0</v>
      </c>
      <c r="J23" t="s">
        <v>302</v>
      </c>
      <c r="K23" t="s">
        <v>181</v>
      </c>
      <c r="L23">
        <v>0</v>
      </c>
      <c r="M23">
        <v>0</v>
      </c>
      <c r="S23" t="s">
        <v>181</v>
      </c>
      <c r="T23" t="s">
        <v>181</v>
      </c>
      <c r="Z23" t="s">
        <v>181</v>
      </c>
      <c r="AA23" t="s">
        <v>181</v>
      </c>
      <c r="AB23" t="s">
        <v>181</v>
      </c>
      <c r="AC23" t="s">
        <v>181</v>
      </c>
      <c r="AD23" t="s">
        <v>181</v>
      </c>
      <c r="AE23" t="s">
        <v>181</v>
      </c>
      <c r="AF23" t="s">
        <v>181</v>
      </c>
      <c r="AI23" t="s">
        <v>181</v>
      </c>
      <c r="AJ23" t="s">
        <v>181</v>
      </c>
      <c r="AK23" t="s">
        <v>181</v>
      </c>
      <c r="AS23" t="s">
        <v>181</v>
      </c>
      <c r="AU23" t="s">
        <v>181</v>
      </c>
      <c r="AW23" t="s">
        <v>181</v>
      </c>
      <c r="AX23" t="s">
        <v>181</v>
      </c>
    </row>
    <row r="24" spans="1:50" x14ac:dyDescent="0.25">
      <c r="A24" t="s">
        <v>244</v>
      </c>
      <c r="B24" t="s">
        <v>311</v>
      </c>
      <c r="C24" t="s">
        <v>320</v>
      </c>
      <c r="D24" t="s">
        <v>303</v>
      </c>
      <c r="E24">
        <v>29.3398</v>
      </c>
      <c r="F24" t="s">
        <v>304</v>
      </c>
      <c r="G24">
        <v>0</v>
      </c>
      <c r="H24">
        <v>0</v>
      </c>
      <c r="I24" t="b">
        <v>0</v>
      </c>
      <c r="J24" t="s">
        <v>305</v>
      </c>
      <c r="K24" t="s">
        <v>181</v>
      </c>
      <c r="L24">
        <v>0</v>
      </c>
      <c r="M24">
        <v>0</v>
      </c>
      <c r="S24" t="s">
        <v>181</v>
      </c>
      <c r="T24" t="s">
        <v>181</v>
      </c>
      <c r="Z24" t="s">
        <v>181</v>
      </c>
      <c r="AA24" t="s">
        <v>181</v>
      </c>
      <c r="AB24" t="s">
        <v>181</v>
      </c>
      <c r="AC24" t="s">
        <v>181</v>
      </c>
      <c r="AD24" t="s">
        <v>181</v>
      </c>
      <c r="AE24" t="s">
        <v>181</v>
      </c>
      <c r="AF24" t="s">
        <v>181</v>
      </c>
      <c r="AI24" t="s">
        <v>181</v>
      </c>
      <c r="AJ24" t="s">
        <v>181</v>
      </c>
      <c r="AK24" t="s">
        <v>181</v>
      </c>
      <c r="AS24" t="s">
        <v>181</v>
      </c>
      <c r="AU24" t="s">
        <v>181</v>
      </c>
      <c r="AW24" t="s">
        <v>181</v>
      </c>
      <c r="AX24" t="s">
        <v>181</v>
      </c>
    </row>
    <row r="25" spans="1:50" x14ac:dyDescent="0.25">
      <c r="A25" t="s">
        <v>244</v>
      </c>
      <c r="B25" t="s">
        <v>311</v>
      </c>
      <c r="C25" t="s">
        <v>320</v>
      </c>
      <c r="D25" t="s">
        <v>306</v>
      </c>
      <c r="E25">
        <v>29.3398</v>
      </c>
      <c r="F25" t="s">
        <v>307</v>
      </c>
      <c r="G25">
        <v>9000</v>
      </c>
      <c r="H25">
        <v>0</v>
      </c>
      <c r="I25" t="b">
        <v>0</v>
      </c>
      <c r="J25" t="s">
        <v>181</v>
      </c>
      <c r="K25" t="s">
        <v>181</v>
      </c>
      <c r="L25">
        <v>0</v>
      </c>
      <c r="M25">
        <v>0</v>
      </c>
      <c r="S25" t="s">
        <v>181</v>
      </c>
      <c r="T25" t="s">
        <v>181</v>
      </c>
      <c r="Z25" t="s">
        <v>181</v>
      </c>
      <c r="AA25" t="s">
        <v>181</v>
      </c>
      <c r="AB25" t="s">
        <v>181</v>
      </c>
      <c r="AC25" t="s">
        <v>181</v>
      </c>
      <c r="AD25" t="s">
        <v>181</v>
      </c>
      <c r="AE25" t="s">
        <v>181</v>
      </c>
      <c r="AF25" t="s">
        <v>181</v>
      </c>
      <c r="AI25" t="s">
        <v>181</v>
      </c>
      <c r="AJ25" t="s">
        <v>181</v>
      </c>
      <c r="AK25" t="s">
        <v>181</v>
      </c>
      <c r="AS25" t="s">
        <v>181</v>
      </c>
      <c r="AU25" t="s">
        <v>181</v>
      </c>
      <c r="AW25" t="s">
        <v>181</v>
      </c>
      <c r="AX25" t="s">
        <v>181</v>
      </c>
    </row>
    <row r="26" spans="1:50" x14ac:dyDescent="0.25">
      <c r="A26" t="s">
        <v>244</v>
      </c>
      <c r="B26" t="s">
        <v>311</v>
      </c>
      <c r="C26" t="s">
        <v>320</v>
      </c>
      <c r="D26" t="s">
        <v>308</v>
      </c>
      <c r="E26">
        <v>29.3398</v>
      </c>
      <c r="F26" t="s">
        <v>309</v>
      </c>
      <c r="G26">
        <v>10504.2017</v>
      </c>
      <c r="H26">
        <v>0</v>
      </c>
      <c r="I26" t="b">
        <v>0</v>
      </c>
      <c r="J26" t="s">
        <v>181</v>
      </c>
      <c r="K26" t="s">
        <v>181</v>
      </c>
      <c r="L26">
        <v>0</v>
      </c>
      <c r="M26">
        <v>0</v>
      </c>
      <c r="S26" t="s">
        <v>181</v>
      </c>
      <c r="T26" t="s">
        <v>181</v>
      </c>
      <c r="Z26" t="s">
        <v>181</v>
      </c>
      <c r="AA26" t="s">
        <v>181</v>
      </c>
      <c r="AB26" t="s">
        <v>181</v>
      </c>
      <c r="AC26" t="s">
        <v>181</v>
      </c>
      <c r="AD26" t="s">
        <v>181</v>
      </c>
      <c r="AE26" t="s">
        <v>181</v>
      </c>
      <c r="AF26" t="s">
        <v>181</v>
      </c>
      <c r="AI26" t="s">
        <v>181</v>
      </c>
      <c r="AJ26" t="s">
        <v>181</v>
      </c>
      <c r="AK26" t="s">
        <v>181</v>
      </c>
      <c r="AS26" t="s">
        <v>181</v>
      </c>
      <c r="AU26" t="s">
        <v>181</v>
      </c>
      <c r="AW26" t="s">
        <v>181</v>
      </c>
      <c r="AX26" t="s">
        <v>181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98C0-9FED-4FA8-B9D7-A7A6A69540CD}">
  <dimension ref="A1:B9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33.85546875" bestFit="1" customWidth="1"/>
    <col min="2" max="2" width="21.42578125" bestFit="1" customWidth="1"/>
  </cols>
  <sheetData>
    <row r="1" spans="1:2" x14ac:dyDescent="0.25">
      <c r="A1" s="9" t="s">
        <v>196</v>
      </c>
      <c r="B1" t="s">
        <v>317</v>
      </c>
    </row>
    <row r="2" spans="1:2" x14ac:dyDescent="0.25">
      <c r="A2" s="9" t="s">
        <v>0</v>
      </c>
      <c r="B2" t="s">
        <v>38</v>
      </c>
    </row>
    <row r="4" spans="1:2" x14ac:dyDescent="0.25">
      <c r="A4" s="9" t="s">
        <v>194</v>
      </c>
      <c r="B4" t="s">
        <v>316</v>
      </c>
    </row>
    <row r="5" spans="1:2" x14ac:dyDescent="0.25">
      <c r="A5" s="10" t="s">
        <v>40</v>
      </c>
      <c r="B5">
        <v>62873</v>
      </c>
    </row>
    <row r="6" spans="1:2" x14ac:dyDescent="0.25">
      <c r="A6" s="10" t="s">
        <v>46</v>
      </c>
      <c r="B6">
        <v>23649</v>
      </c>
    </row>
    <row r="7" spans="1:2" x14ac:dyDescent="0.25">
      <c r="A7" s="10" t="s">
        <v>44</v>
      </c>
      <c r="B7">
        <v>12312</v>
      </c>
    </row>
    <row r="8" spans="1:2" x14ac:dyDescent="0.25">
      <c r="A8" s="10" t="s">
        <v>42</v>
      </c>
      <c r="B8">
        <v>862180</v>
      </c>
    </row>
    <row r="9" spans="1:2" x14ac:dyDescent="0.25">
      <c r="A9" s="10" t="s">
        <v>195</v>
      </c>
      <c r="B9">
        <v>961014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C5E5-AD85-4BAB-B4DA-2FDC665CA9A4}">
  <dimension ref="A1:K28"/>
  <sheetViews>
    <sheetView zoomScaleNormal="100" workbookViewId="0">
      <selection activeCell="C36" sqref="C36"/>
    </sheetView>
  </sheetViews>
  <sheetFormatPr baseColWidth="10" defaultColWidth="9.140625" defaultRowHeight="15" x14ac:dyDescent="0.25"/>
  <cols>
    <col min="1" max="1" width="19.140625" bestFit="1" customWidth="1"/>
    <col min="2" max="2" width="14.85546875" bestFit="1" customWidth="1"/>
    <col min="3" max="3" width="15.140625" customWidth="1"/>
    <col min="4" max="4" width="9" customWidth="1"/>
    <col min="5" max="5" width="43.140625" bestFit="1" customWidth="1"/>
    <col min="6" max="6" width="9" customWidth="1"/>
    <col min="7" max="7" width="12.85546875" bestFit="1" customWidth="1"/>
    <col min="8" max="8" width="19" bestFit="1" customWidth="1"/>
    <col min="9" max="9" width="14.85546875" bestFit="1" customWidth="1"/>
    <col min="10" max="10" width="27" customWidth="1"/>
    <col min="11" max="11" width="24.28515625" bestFit="1" customWidth="1"/>
    <col min="12" max="12" width="24.28515625" customWidth="1"/>
    <col min="13" max="13" width="27" customWidth="1"/>
    <col min="14" max="14" width="24.28515625" customWidth="1"/>
  </cols>
  <sheetData>
    <row r="1" spans="1:11" x14ac:dyDescent="0.25">
      <c r="A1" t="s">
        <v>0</v>
      </c>
      <c r="B1" t="s">
        <v>310</v>
      </c>
      <c r="C1" t="s">
        <v>1</v>
      </c>
      <c r="D1" t="s">
        <v>2</v>
      </c>
      <c r="E1" t="s">
        <v>3</v>
      </c>
      <c r="F1" t="s">
        <v>4</v>
      </c>
      <c r="G1" t="s">
        <v>63</v>
      </c>
      <c r="H1" t="s">
        <v>5</v>
      </c>
      <c r="I1" t="s">
        <v>6</v>
      </c>
      <c r="J1" t="s">
        <v>204</v>
      </c>
      <c r="K1" t="s">
        <v>193</v>
      </c>
    </row>
    <row r="2" spans="1:11" x14ac:dyDescent="0.25">
      <c r="A2" t="s">
        <v>7</v>
      </c>
      <c r="B2" t="s">
        <v>64</v>
      </c>
      <c r="C2" t="s">
        <v>188</v>
      </c>
      <c r="D2" t="s">
        <v>8</v>
      </c>
      <c r="E2" t="s">
        <v>9</v>
      </c>
      <c r="F2">
        <v>10.062799999999999</v>
      </c>
      <c r="G2">
        <v>300491</v>
      </c>
      <c r="H2">
        <v>75120</v>
      </c>
      <c r="I2">
        <v>195885</v>
      </c>
      <c r="J2" t="s">
        <v>181</v>
      </c>
      <c r="K2">
        <v>0</v>
      </c>
    </row>
    <row r="3" spans="1:11" x14ac:dyDescent="0.25">
      <c r="A3" t="s">
        <v>7</v>
      </c>
      <c r="B3" t="s">
        <v>64</v>
      </c>
      <c r="C3" t="s">
        <v>187</v>
      </c>
      <c r="D3" t="s">
        <v>10</v>
      </c>
      <c r="E3" t="s">
        <v>11</v>
      </c>
      <c r="F3">
        <v>42.016100000000002</v>
      </c>
      <c r="G3">
        <v>422110</v>
      </c>
      <c r="H3">
        <v>94056</v>
      </c>
      <c r="I3">
        <v>132516</v>
      </c>
      <c r="J3" t="s">
        <v>181</v>
      </c>
      <c r="K3">
        <v>0</v>
      </c>
    </row>
    <row r="4" spans="1:11" x14ac:dyDescent="0.25">
      <c r="A4" t="s">
        <v>7</v>
      </c>
      <c r="B4" t="s">
        <v>66</v>
      </c>
      <c r="C4" t="s">
        <v>188</v>
      </c>
      <c r="D4" t="s">
        <v>12</v>
      </c>
      <c r="E4" t="s">
        <v>13</v>
      </c>
      <c r="F4">
        <v>37.338799999999999</v>
      </c>
      <c r="G4">
        <v>34505</v>
      </c>
      <c r="H4">
        <v>40</v>
      </c>
      <c r="I4">
        <v>938</v>
      </c>
      <c r="J4" t="s">
        <v>181</v>
      </c>
    </row>
    <row r="5" spans="1:11" x14ac:dyDescent="0.25">
      <c r="A5" t="s">
        <v>7</v>
      </c>
      <c r="B5" t="s">
        <v>66</v>
      </c>
      <c r="C5" t="s">
        <v>187</v>
      </c>
      <c r="D5" t="s">
        <v>14</v>
      </c>
      <c r="E5" t="s">
        <v>15</v>
      </c>
      <c r="F5">
        <v>92.014499999999998</v>
      </c>
      <c r="G5">
        <v>319219</v>
      </c>
      <c r="H5">
        <v>2020</v>
      </c>
      <c r="I5">
        <v>311826</v>
      </c>
      <c r="J5" t="s">
        <v>181</v>
      </c>
    </row>
    <row r="6" spans="1:11" x14ac:dyDescent="0.25">
      <c r="A6" t="s">
        <v>7</v>
      </c>
      <c r="B6" t="s">
        <v>66</v>
      </c>
      <c r="C6" t="s">
        <v>188</v>
      </c>
      <c r="D6" t="s">
        <v>16</v>
      </c>
      <c r="E6" t="s">
        <v>17</v>
      </c>
      <c r="F6">
        <v>1.9273</v>
      </c>
      <c r="G6">
        <v>21933</v>
      </c>
      <c r="J6" t="s">
        <v>181</v>
      </c>
    </row>
    <row r="7" spans="1:11" x14ac:dyDescent="0.25">
      <c r="A7" t="s">
        <v>7</v>
      </c>
      <c r="B7" t="s">
        <v>66</v>
      </c>
      <c r="C7" t="s">
        <v>188</v>
      </c>
      <c r="D7" t="s">
        <v>18</v>
      </c>
      <c r="E7" t="s">
        <v>19</v>
      </c>
      <c r="F7">
        <v>1</v>
      </c>
      <c r="G7">
        <v>47609</v>
      </c>
      <c r="H7">
        <v>25824</v>
      </c>
      <c r="I7">
        <v>16800</v>
      </c>
      <c r="J7" t="s">
        <v>181</v>
      </c>
      <c r="K7">
        <v>0</v>
      </c>
    </row>
    <row r="8" spans="1:11" x14ac:dyDescent="0.25">
      <c r="A8" t="s">
        <v>7</v>
      </c>
      <c r="B8" t="s">
        <v>66</v>
      </c>
      <c r="C8" t="s">
        <v>188</v>
      </c>
      <c r="D8" t="s">
        <v>20</v>
      </c>
      <c r="E8" t="s">
        <v>21</v>
      </c>
      <c r="F8">
        <v>1</v>
      </c>
      <c r="G8">
        <v>1008</v>
      </c>
      <c r="I8">
        <v>1008</v>
      </c>
      <c r="J8" t="s">
        <v>181</v>
      </c>
    </row>
    <row r="9" spans="1:11" x14ac:dyDescent="0.25">
      <c r="A9" t="s">
        <v>7</v>
      </c>
      <c r="B9" t="s">
        <v>66</v>
      </c>
      <c r="C9" t="s">
        <v>188</v>
      </c>
      <c r="D9" t="s">
        <v>22</v>
      </c>
      <c r="E9" t="s">
        <v>23</v>
      </c>
      <c r="F9">
        <v>17.007300000000001</v>
      </c>
      <c r="G9">
        <v>5139</v>
      </c>
      <c r="I9">
        <v>2884</v>
      </c>
      <c r="J9" t="s">
        <v>181</v>
      </c>
    </row>
    <row r="10" spans="1:11" x14ac:dyDescent="0.25">
      <c r="A10" t="s">
        <v>7</v>
      </c>
      <c r="B10" t="s">
        <v>64</v>
      </c>
      <c r="C10" t="s">
        <v>189</v>
      </c>
      <c r="D10" t="s">
        <v>24</v>
      </c>
      <c r="E10" t="s">
        <v>25</v>
      </c>
      <c r="F10">
        <v>12.9773</v>
      </c>
      <c r="G10">
        <v>13004</v>
      </c>
      <c r="J10" t="s">
        <v>181</v>
      </c>
      <c r="K10">
        <v>0</v>
      </c>
    </row>
    <row r="11" spans="1:11" x14ac:dyDescent="0.25">
      <c r="A11" t="s">
        <v>7</v>
      </c>
      <c r="B11" t="s">
        <v>64</v>
      </c>
      <c r="C11" t="s">
        <v>188</v>
      </c>
      <c r="D11" t="s">
        <v>26</v>
      </c>
      <c r="E11" t="s">
        <v>27</v>
      </c>
      <c r="F11">
        <v>1</v>
      </c>
      <c r="G11">
        <v>360</v>
      </c>
      <c r="J11" t="s">
        <v>181</v>
      </c>
    </row>
    <row r="12" spans="1:11" x14ac:dyDescent="0.25">
      <c r="A12" t="s">
        <v>7</v>
      </c>
      <c r="B12" t="s">
        <v>64</v>
      </c>
      <c r="C12" t="s">
        <v>188</v>
      </c>
      <c r="D12" t="s">
        <v>28</v>
      </c>
      <c r="E12" t="s">
        <v>29</v>
      </c>
      <c r="F12">
        <v>48.030299999999997</v>
      </c>
      <c r="G12">
        <v>567950</v>
      </c>
      <c r="H12">
        <v>456697</v>
      </c>
      <c r="I12">
        <v>68280</v>
      </c>
      <c r="J12" t="s">
        <v>181</v>
      </c>
      <c r="K12">
        <v>0</v>
      </c>
    </row>
    <row r="13" spans="1:11" x14ac:dyDescent="0.25">
      <c r="A13" t="s">
        <v>7</v>
      </c>
      <c r="B13" t="s">
        <v>64</v>
      </c>
      <c r="C13" t="s">
        <v>187</v>
      </c>
      <c r="D13" t="s">
        <v>30</v>
      </c>
      <c r="E13" t="s">
        <v>31</v>
      </c>
      <c r="F13">
        <v>80.528099999999995</v>
      </c>
      <c r="G13">
        <v>287364</v>
      </c>
      <c r="H13">
        <v>806</v>
      </c>
      <c r="I13">
        <v>99978</v>
      </c>
      <c r="J13" t="s">
        <v>181</v>
      </c>
      <c r="K13">
        <v>0</v>
      </c>
    </row>
    <row r="14" spans="1:11" x14ac:dyDescent="0.25">
      <c r="A14" t="s">
        <v>7</v>
      </c>
      <c r="B14" t="s">
        <v>87</v>
      </c>
      <c r="C14" t="s">
        <v>189</v>
      </c>
      <c r="D14" t="s">
        <v>32</v>
      </c>
      <c r="E14" t="s">
        <v>33</v>
      </c>
      <c r="F14">
        <v>1.8461000000000001</v>
      </c>
      <c r="G14">
        <v>7457</v>
      </c>
      <c r="J14" t="s">
        <v>181</v>
      </c>
    </row>
    <row r="15" spans="1:11" x14ac:dyDescent="0.25">
      <c r="A15" t="s">
        <v>7</v>
      </c>
      <c r="B15" t="s">
        <v>87</v>
      </c>
      <c r="C15" t="s">
        <v>187</v>
      </c>
      <c r="D15" t="s">
        <v>34</v>
      </c>
      <c r="E15" t="s">
        <v>35</v>
      </c>
      <c r="F15">
        <v>49.689700000000002</v>
      </c>
      <c r="G15">
        <v>130591</v>
      </c>
      <c r="H15">
        <v>41004</v>
      </c>
      <c r="I15">
        <v>44918</v>
      </c>
      <c r="J15" t="s">
        <v>181</v>
      </c>
      <c r="K15">
        <v>3475</v>
      </c>
    </row>
    <row r="16" spans="1:11" x14ac:dyDescent="0.25">
      <c r="A16" t="s">
        <v>7</v>
      </c>
      <c r="B16" t="s">
        <v>87</v>
      </c>
      <c r="C16" t="s">
        <v>188</v>
      </c>
      <c r="D16" t="s">
        <v>36</v>
      </c>
      <c r="E16" t="s">
        <v>37</v>
      </c>
      <c r="F16">
        <v>29.566099999999999</v>
      </c>
      <c r="G16">
        <v>288879</v>
      </c>
      <c r="H16">
        <v>70920</v>
      </c>
      <c r="I16">
        <v>182942</v>
      </c>
      <c r="J16" t="s">
        <v>181</v>
      </c>
      <c r="K16">
        <v>1368</v>
      </c>
    </row>
    <row r="17" spans="1:11" x14ac:dyDescent="0.25">
      <c r="A17" t="s">
        <v>38</v>
      </c>
      <c r="B17" t="s">
        <v>66</v>
      </c>
      <c r="C17" t="s">
        <v>187</v>
      </c>
      <c r="D17" t="s">
        <v>39</v>
      </c>
      <c r="E17" t="s">
        <v>40</v>
      </c>
      <c r="F17">
        <v>101.56529999999999</v>
      </c>
      <c r="G17">
        <v>62873</v>
      </c>
      <c r="H17">
        <v>58817</v>
      </c>
      <c r="J17" t="s">
        <v>181</v>
      </c>
    </row>
    <row r="18" spans="1:11" x14ac:dyDescent="0.25">
      <c r="A18" t="s">
        <v>38</v>
      </c>
      <c r="B18" t="s">
        <v>64</v>
      </c>
      <c r="C18" t="s">
        <v>187</v>
      </c>
      <c r="D18" t="s">
        <v>41</v>
      </c>
      <c r="E18" t="s">
        <v>42</v>
      </c>
      <c r="F18">
        <v>84.104299999999995</v>
      </c>
      <c r="G18">
        <v>800542</v>
      </c>
      <c r="H18">
        <v>797001</v>
      </c>
      <c r="J18" t="s">
        <v>181</v>
      </c>
      <c r="K18">
        <v>0</v>
      </c>
    </row>
    <row r="19" spans="1:11" x14ac:dyDescent="0.25">
      <c r="A19" t="s">
        <v>38</v>
      </c>
      <c r="B19" t="s">
        <v>66</v>
      </c>
      <c r="C19" t="s">
        <v>187</v>
      </c>
      <c r="D19" t="s">
        <v>43</v>
      </c>
      <c r="E19" t="s">
        <v>44</v>
      </c>
      <c r="F19">
        <v>103.4541</v>
      </c>
      <c r="G19">
        <v>12312</v>
      </c>
      <c r="H19">
        <v>3768</v>
      </c>
      <c r="J19" t="s">
        <v>181</v>
      </c>
    </row>
    <row r="20" spans="1:11" x14ac:dyDescent="0.25">
      <c r="A20" t="s">
        <v>38</v>
      </c>
      <c r="B20" t="s">
        <v>66</v>
      </c>
      <c r="C20" t="s">
        <v>187</v>
      </c>
      <c r="D20" t="s">
        <v>45</v>
      </c>
      <c r="E20" t="s">
        <v>46</v>
      </c>
      <c r="F20">
        <v>100.4097</v>
      </c>
      <c r="G20">
        <v>23649</v>
      </c>
      <c r="H20">
        <v>20313</v>
      </c>
      <c r="J20" t="s">
        <v>181</v>
      </c>
    </row>
    <row r="21" spans="1:11" x14ac:dyDescent="0.25">
      <c r="A21" t="s">
        <v>7</v>
      </c>
      <c r="B21" t="s">
        <v>66</v>
      </c>
      <c r="C21" t="s">
        <v>188</v>
      </c>
      <c r="D21" t="s">
        <v>47</v>
      </c>
      <c r="E21" t="s">
        <v>48</v>
      </c>
      <c r="F21">
        <v>64.122799999999998</v>
      </c>
      <c r="G21">
        <v>46242</v>
      </c>
      <c r="H21">
        <v>2326</v>
      </c>
      <c r="I21">
        <v>43872</v>
      </c>
      <c r="J21" t="s">
        <v>181</v>
      </c>
      <c r="K21">
        <v>0</v>
      </c>
    </row>
    <row r="22" spans="1:11" x14ac:dyDescent="0.25">
      <c r="A22" t="s">
        <v>7</v>
      </c>
      <c r="B22" t="s">
        <v>66</v>
      </c>
      <c r="C22" t="s">
        <v>188</v>
      </c>
      <c r="D22" t="s">
        <v>49</v>
      </c>
      <c r="E22" t="s">
        <v>50</v>
      </c>
      <c r="F22">
        <v>46.709099999999999</v>
      </c>
      <c r="G22">
        <v>31456</v>
      </c>
      <c r="H22">
        <v>19055</v>
      </c>
      <c r="I22">
        <v>12000</v>
      </c>
      <c r="J22" t="s">
        <v>181</v>
      </c>
      <c r="K22">
        <v>0</v>
      </c>
    </row>
    <row r="23" spans="1:11" x14ac:dyDescent="0.25">
      <c r="A23" t="s">
        <v>7</v>
      </c>
      <c r="B23" t="s">
        <v>66</v>
      </c>
      <c r="C23" t="s">
        <v>188</v>
      </c>
      <c r="D23" t="s">
        <v>51</v>
      </c>
      <c r="E23" t="s">
        <v>52</v>
      </c>
      <c r="F23">
        <v>32.889699999999998</v>
      </c>
      <c r="G23">
        <v>36567</v>
      </c>
      <c r="H23">
        <v>1631</v>
      </c>
      <c r="I23">
        <v>34920</v>
      </c>
      <c r="J23" t="s">
        <v>181</v>
      </c>
    </row>
    <row r="24" spans="1:11" x14ac:dyDescent="0.25">
      <c r="A24" t="s">
        <v>7</v>
      </c>
      <c r="B24" t="s">
        <v>66</v>
      </c>
      <c r="C24" t="s">
        <v>188</v>
      </c>
      <c r="D24" t="s">
        <v>59</v>
      </c>
      <c r="E24" t="s">
        <v>60</v>
      </c>
      <c r="F24">
        <v>53.934199999999997</v>
      </c>
      <c r="G24">
        <v>67113</v>
      </c>
      <c r="H24">
        <v>67113</v>
      </c>
      <c r="J24" t="s">
        <v>181</v>
      </c>
      <c r="K24">
        <v>0</v>
      </c>
    </row>
    <row r="25" spans="1:11" x14ac:dyDescent="0.25">
      <c r="A25" t="s">
        <v>7</v>
      </c>
      <c r="B25" t="s">
        <v>66</v>
      </c>
      <c r="C25" t="s">
        <v>188</v>
      </c>
      <c r="D25" t="s">
        <v>53</v>
      </c>
      <c r="E25" t="s">
        <v>54</v>
      </c>
      <c r="F25">
        <v>40.484299999999998</v>
      </c>
      <c r="G25">
        <v>736</v>
      </c>
      <c r="I25">
        <v>624</v>
      </c>
      <c r="J25" t="s">
        <v>181</v>
      </c>
    </row>
    <row r="26" spans="1:11" x14ac:dyDescent="0.25">
      <c r="A26" t="s">
        <v>7</v>
      </c>
      <c r="B26" t="s">
        <v>66</v>
      </c>
      <c r="C26" t="s">
        <v>188</v>
      </c>
      <c r="D26" t="s">
        <v>55</v>
      </c>
      <c r="E26" t="s">
        <v>56</v>
      </c>
      <c r="F26">
        <v>43.512300000000003</v>
      </c>
      <c r="G26">
        <v>200196</v>
      </c>
      <c r="H26">
        <v>171396</v>
      </c>
      <c r="I26">
        <v>28800</v>
      </c>
      <c r="J26" t="s">
        <v>181</v>
      </c>
      <c r="K26">
        <v>0</v>
      </c>
    </row>
    <row r="27" spans="1:11" x14ac:dyDescent="0.25">
      <c r="A27" t="s">
        <v>7</v>
      </c>
      <c r="B27" t="s">
        <v>66</v>
      </c>
      <c r="C27" t="s">
        <v>188</v>
      </c>
      <c r="D27" t="s">
        <v>57</v>
      </c>
      <c r="E27" t="s">
        <v>58</v>
      </c>
      <c r="F27">
        <v>30.793099999999999</v>
      </c>
      <c r="G27">
        <v>43200</v>
      </c>
      <c r="H27">
        <v>48</v>
      </c>
      <c r="J27" t="s">
        <v>181</v>
      </c>
    </row>
    <row r="28" spans="1:11" x14ac:dyDescent="0.25">
      <c r="A28" t="s">
        <v>7</v>
      </c>
      <c r="B28" t="s">
        <v>66</v>
      </c>
      <c r="C28" t="s">
        <v>187</v>
      </c>
      <c r="D28" t="s">
        <v>61</v>
      </c>
      <c r="E28" t="s">
        <v>62</v>
      </c>
      <c r="F28">
        <v>98.039199999999994</v>
      </c>
      <c r="G28">
        <v>0</v>
      </c>
      <c r="J28" t="s">
        <v>181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B648-DA2D-4E43-91C8-9179F6A6ECD3}">
  <dimension ref="A1:H165"/>
  <sheetViews>
    <sheetView topLeftCell="B1" workbookViewId="0">
      <selection activeCell="E17" sqref="E17"/>
    </sheetView>
  </sheetViews>
  <sheetFormatPr baseColWidth="10" defaultColWidth="9.140625" defaultRowHeight="15" x14ac:dyDescent="0.25"/>
  <cols>
    <col min="1" max="1" width="16.140625" style="12" customWidth="1"/>
    <col min="2" max="2" width="14.28515625" customWidth="1"/>
    <col min="3" max="3" width="44.140625" customWidth="1"/>
    <col min="5" max="5" width="24.28515625" customWidth="1"/>
    <col min="6" max="6" width="18.7109375" customWidth="1"/>
    <col min="7" max="7" width="14.7109375" customWidth="1"/>
  </cols>
  <sheetData>
    <row r="1" spans="1:7" ht="17.25" x14ac:dyDescent="0.35">
      <c r="A1" s="15" t="s">
        <v>180</v>
      </c>
      <c r="B1" s="16" t="s">
        <v>2</v>
      </c>
      <c r="C1" s="16" t="s">
        <v>3</v>
      </c>
      <c r="D1" s="16" t="s">
        <v>4</v>
      </c>
      <c r="E1" s="16" t="s">
        <v>315</v>
      </c>
      <c r="F1" s="16" t="s">
        <v>5</v>
      </c>
      <c r="G1" s="16" t="s">
        <v>6</v>
      </c>
    </row>
    <row r="2" spans="1:7" x14ac:dyDescent="0.25">
      <c r="A2" s="12">
        <v>45662</v>
      </c>
      <c r="B2" t="s">
        <v>8</v>
      </c>
      <c r="C2" t="s">
        <v>9</v>
      </c>
      <c r="D2">
        <v>28.598600000000001</v>
      </c>
      <c r="E2">
        <v>92947</v>
      </c>
      <c r="F2">
        <v>7200</v>
      </c>
      <c r="G2">
        <v>85747</v>
      </c>
    </row>
    <row r="3" spans="1:7" x14ac:dyDescent="0.25">
      <c r="A3" s="12">
        <v>45662</v>
      </c>
      <c r="B3" t="s">
        <v>10</v>
      </c>
      <c r="C3" t="s">
        <v>11</v>
      </c>
      <c r="D3">
        <v>44.360300000000002</v>
      </c>
      <c r="E3">
        <v>28537</v>
      </c>
      <c r="F3">
        <v>1596</v>
      </c>
      <c r="G3">
        <v>26941</v>
      </c>
    </row>
    <row r="4" spans="1:7" x14ac:dyDescent="0.25">
      <c r="A4" s="12">
        <v>45662</v>
      </c>
      <c r="B4" t="s">
        <v>12</v>
      </c>
      <c r="C4" t="s">
        <v>13</v>
      </c>
      <c r="D4">
        <v>39.732300000000002</v>
      </c>
      <c r="E4">
        <v>3004</v>
      </c>
      <c r="F4">
        <v>2020</v>
      </c>
      <c r="G4">
        <v>984</v>
      </c>
    </row>
    <row r="5" spans="1:7" x14ac:dyDescent="0.25">
      <c r="A5" s="12">
        <v>45662</v>
      </c>
      <c r="B5" t="s">
        <v>14</v>
      </c>
      <c r="C5" t="s">
        <v>15</v>
      </c>
      <c r="D5">
        <v>92.684899999999999</v>
      </c>
      <c r="E5">
        <v>369573</v>
      </c>
      <c r="F5">
        <v>48</v>
      </c>
      <c r="G5">
        <v>369525</v>
      </c>
    </row>
    <row r="6" spans="1:7" x14ac:dyDescent="0.25">
      <c r="A6" s="12">
        <v>45662</v>
      </c>
      <c r="B6" t="s">
        <v>16</v>
      </c>
      <c r="C6" t="s">
        <v>17</v>
      </c>
      <c r="D6">
        <v>4.4747000000000003</v>
      </c>
      <c r="E6">
        <v>0</v>
      </c>
      <c r="F6" t="s">
        <v>181</v>
      </c>
      <c r="G6" t="s">
        <v>181</v>
      </c>
    </row>
    <row r="7" spans="1:7" x14ac:dyDescent="0.25">
      <c r="A7" s="12">
        <v>45662</v>
      </c>
      <c r="B7" t="s">
        <v>18</v>
      </c>
      <c r="C7" t="s">
        <v>19</v>
      </c>
      <c r="D7">
        <v>1</v>
      </c>
      <c r="E7">
        <v>0</v>
      </c>
      <c r="F7" t="s">
        <v>181</v>
      </c>
      <c r="G7" t="s">
        <v>181</v>
      </c>
    </row>
    <row r="8" spans="1:7" x14ac:dyDescent="0.25">
      <c r="A8" s="12">
        <v>45662</v>
      </c>
      <c r="B8" t="s">
        <v>20</v>
      </c>
      <c r="C8" t="s">
        <v>21</v>
      </c>
      <c r="D8">
        <v>1</v>
      </c>
      <c r="E8">
        <v>1008</v>
      </c>
      <c r="F8" t="s">
        <v>181</v>
      </c>
      <c r="G8">
        <v>1008</v>
      </c>
    </row>
    <row r="9" spans="1:7" x14ac:dyDescent="0.25">
      <c r="A9" s="12">
        <v>45662</v>
      </c>
      <c r="B9" t="s">
        <v>22</v>
      </c>
      <c r="C9" t="s">
        <v>23</v>
      </c>
      <c r="D9">
        <v>20.703900000000001</v>
      </c>
      <c r="E9">
        <v>2884</v>
      </c>
      <c r="F9" t="s">
        <v>181</v>
      </c>
      <c r="G9">
        <v>2884</v>
      </c>
    </row>
    <row r="10" spans="1:7" x14ac:dyDescent="0.25">
      <c r="A10" s="12">
        <v>45662</v>
      </c>
      <c r="B10" t="s">
        <v>24</v>
      </c>
      <c r="C10" t="s">
        <v>25</v>
      </c>
      <c r="D10">
        <v>12.9773</v>
      </c>
      <c r="E10">
        <v>0</v>
      </c>
      <c r="F10" t="s">
        <v>181</v>
      </c>
      <c r="G10" t="s">
        <v>181</v>
      </c>
    </row>
    <row r="11" spans="1:7" x14ac:dyDescent="0.25">
      <c r="A11" s="12">
        <v>45662</v>
      </c>
      <c r="B11" t="s">
        <v>26</v>
      </c>
      <c r="C11" t="s">
        <v>27</v>
      </c>
      <c r="D11">
        <v>1</v>
      </c>
      <c r="E11">
        <v>0</v>
      </c>
      <c r="F11" t="s">
        <v>181</v>
      </c>
      <c r="G11" t="s">
        <v>181</v>
      </c>
    </row>
    <row r="12" spans="1:7" x14ac:dyDescent="0.25">
      <c r="A12" s="12">
        <v>45662</v>
      </c>
      <c r="B12" t="s">
        <v>28</v>
      </c>
      <c r="C12" t="s">
        <v>29</v>
      </c>
      <c r="D12">
        <v>45.4129</v>
      </c>
      <c r="E12">
        <v>137952</v>
      </c>
      <c r="F12">
        <v>7825</v>
      </c>
      <c r="G12">
        <v>130127</v>
      </c>
    </row>
    <row r="13" spans="1:7" x14ac:dyDescent="0.25">
      <c r="A13" s="12">
        <v>45662</v>
      </c>
      <c r="B13" t="s">
        <v>30</v>
      </c>
      <c r="C13" t="s">
        <v>31</v>
      </c>
      <c r="D13">
        <v>81.9285</v>
      </c>
      <c r="E13">
        <v>514154</v>
      </c>
      <c r="F13">
        <v>48074</v>
      </c>
      <c r="G13">
        <v>238080</v>
      </c>
    </row>
    <row r="14" spans="1:7" x14ac:dyDescent="0.25">
      <c r="A14" s="12">
        <v>45662</v>
      </c>
      <c r="B14" t="s">
        <v>32</v>
      </c>
      <c r="C14" t="s">
        <v>33</v>
      </c>
      <c r="D14">
        <v>1.8461000000000001</v>
      </c>
      <c r="E14">
        <v>0</v>
      </c>
      <c r="F14" t="s">
        <v>181</v>
      </c>
      <c r="G14" t="s">
        <v>181</v>
      </c>
    </row>
    <row r="15" spans="1:7" x14ac:dyDescent="0.25">
      <c r="A15" s="12">
        <v>45662</v>
      </c>
      <c r="B15" t="s">
        <v>34</v>
      </c>
      <c r="C15" t="s">
        <v>35</v>
      </c>
      <c r="D15">
        <v>52.090200000000003</v>
      </c>
      <c r="E15">
        <v>87132</v>
      </c>
      <c r="F15">
        <v>204</v>
      </c>
      <c r="G15">
        <v>86928</v>
      </c>
    </row>
    <row r="16" spans="1:7" x14ac:dyDescent="0.25">
      <c r="A16" s="12">
        <v>45662</v>
      </c>
      <c r="B16" t="s">
        <v>36</v>
      </c>
      <c r="C16" t="s">
        <v>37</v>
      </c>
      <c r="D16">
        <v>32.676000000000002</v>
      </c>
      <c r="E16">
        <v>32400</v>
      </c>
      <c r="F16">
        <v>5448</v>
      </c>
      <c r="G16">
        <v>26952</v>
      </c>
    </row>
    <row r="17" spans="1:7" x14ac:dyDescent="0.25">
      <c r="A17" s="12">
        <v>45662</v>
      </c>
      <c r="B17" t="s">
        <v>39</v>
      </c>
      <c r="C17" t="s">
        <v>40</v>
      </c>
      <c r="D17">
        <v>101.56529999999999</v>
      </c>
      <c r="E17">
        <v>63817</v>
      </c>
      <c r="F17">
        <v>63817</v>
      </c>
      <c r="G17" t="s">
        <v>181</v>
      </c>
    </row>
    <row r="18" spans="1:7" x14ac:dyDescent="0.25">
      <c r="A18" s="12">
        <v>45662</v>
      </c>
      <c r="B18" t="s">
        <v>41</v>
      </c>
      <c r="C18" t="s">
        <v>42</v>
      </c>
      <c r="D18">
        <v>84.104299999999995</v>
      </c>
      <c r="E18">
        <v>1469153</v>
      </c>
      <c r="F18">
        <v>1469153</v>
      </c>
      <c r="G18" t="s">
        <v>181</v>
      </c>
    </row>
    <row r="19" spans="1:7" x14ac:dyDescent="0.25">
      <c r="A19" s="12">
        <v>45662</v>
      </c>
      <c r="B19" t="s">
        <v>43</v>
      </c>
      <c r="C19" t="s">
        <v>44</v>
      </c>
      <c r="D19">
        <v>103.4541</v>
      </c>
      <c r="E19">
        <v>3768</v>
      </c>
      <c r="F19">
        <v>3768</v>
      </c>
      <c r="G19" t="s">
        <v>181</v>
      </c>
    </row>
    <row r="20" spans="1:7" x14ac:dyDescent="0.25">
      <c r="A20" s="12">
        <v>45662</v>
      </c>
      <c r="B20" t="s">
        <v>45</v>
      </c>
      <c r="C20" t="s">
        <v>46</v>
      </c>
      <c r="D20">
        <v>100.4097</v>
      </c>
      <c r="E20">
        <v>20313</v>
      </c>
      <c r="F20">
        <v>20313</v>
      </c>
      <c r="G20" t="s">
        <v>181</v>
      </c>
    </row>
    <row r="21" spans="1:7" x14ac:dyDescent="0.25">
      <c r="A21" s="12">
        <v>45662</v>
      </c>
      <c r="B21" t="s">
        <v>47</v>
      </c>
      <c r="C21" t="s">
        <v>48</v>
      </c>
      <c r="D21">
        <v>64.122799999999998</v>
      </c>
      <c r="E21">
        <v>1319</v>
      </c>
      <c r="F21">
        <v>647</v>
      </c>
      <c r="G21">
        <v>672</v>
      </c>
    </row>
    <row r="22" spans="1:7" x14ac:dyDescent="0.25">
      <c r="A22" s="12">
        <v>45662</v>
      </c>
      <c r="B22" t="s">
        <v>49</v>
      </c>
      <c r="C22" t="s">
        <v>50</v>
      </c>
      <c r="D22">
        <v>48.055900000000001</v>
      </c>
      <c r="E22">
        <v>19416</v>
      </c>
      <c r="F22">
        <v>264</v>
      </c>
      <c r="G22">
        <v>19152</v>
      </c>
    </row>
    <row r="23" spans="1:7" x14ac:dyDescent="0.25">
      <c r="A23" s="12">
        <v>45662</v>
      </c>
      <c r="B23" t="s">
        <v>51</v>
      </c>
      <c r="C23" t="s">
        <v>52</v>
      </c>
      <c r="D23">
        <v>32.889699999999998</v>
      </c>
      <c r="E23">
        <v>51120</v>
      </c>
      <c r="F23">
        <v>1800</v>
      </c>
      <c r="G23">
        <v>49320</v>
      </c>
    </row>
    <row r="24" spans="1:7" x14ac:dyDescent="0.25">
      <c r="A24" s="12">
        <v>45662</v>
      </c>
      <c r="B24" t="s">
        <v>53</v>
      </c>
      <c r="C24" t="s">
        <v>54</v>
      </c>
      <c r="D24">
        <v>40.484299999999998</v>
      </c>
      <c r="E24">
        <v>10224</v>
      </c>
      <c r="F24" t="s">
        <v>181</v>
      </c>
      <c r="G24">
        <v>10224</v>
      </c>
    </row>
    <row r="25" spans="1:7" x14ac:dyDescent="0.25">
      <c r="A25" s="12">
        <v>45662</v>
      </c>
      <c r="B25" t="s">
        <v>55</v>
      </c>
      <c r="C25" t="s">
        <v>56</v>
      </c>
      <c r="D25">
        <v>43.512300000000003</v>
      </c>
      <c r="E25">
        <v>21456</v>
      </c>
      <c r="F25">
        <v>2256</v>
      </c>
      <c r="G25">
        <v>19200</v>
      </c>
    </row>
    <row r="26" spans="1:7" x14ac:dyDescent="0.25">
      <c r="A26" s="12">
        <v>45662</v>
      </c>
      <c r="B26" t="s">
        <v>57</v>
      </c>
      <c r="C26" t="s">
        <v>58</v>
      </c>
      <c r="D26">
        <v>30.793099999999999</v>
      </c>
      <c r="E26">
        <v>48</v>
      </c>
      <c r="F26">
        <v>48</v>
      </c>
      <c r="G26" t="s">
        <v>181</v>
      </c>
    </row>
    <row r="27" spans="1:7" x14ac:dyDescent="0.25">
      <c r="A27" s="12">
        <v>45662</v>
      </c>
      <c r="B27" t="s">
        <v>59</v>
      </c>
      <c r="C27" t="s">
        <v>60</v>
      </c>
      <c r="D27">
        <v>53.425400000000003</v>
      </c>
      <c r="F27" t="s">
        <v>181</v>
      </c>
      <c r="G27" t="s">
        <v>181</v>
      </c>
    </row>
    <row r="28" spans="1:7" x14ac:dyDescent="0.25">
      <c r="A28" s="12">
        <v>45662</v>
      </c>
      <c r="B28" t="s">
        <v>61</v>
      </c>
      <c r="C28" t="s">
        <v>62</v>
      </c>
      <c r="D28">
        <v>98.039199999999994</v>
      </c>
      <c r="F28" t="s">
        <v>181</v>
      </c>
      <c r="G28" t="s">
        <v>181</v>
      </c>
    </row>
    <row r="29" spans="1:7" x14ac:dyDescent="0.25">
      <c r="A29" s="12">
        <v>45664</v>
      </c>
      <c r="B29" t="s">
        <v>8</v>
      </c>
      <c r="C29" t="s">
        <v>9</v>
      </c>
      <c r="D29">
        <v>28.598600000000001</v>
      </c>
      <c r="E29">
        <v>1747</v>
      </c>
      <c r="F29">
        <v>0</v>
      </c>
      <c r="G29">
        <v>1747</v>
      </c>
    </row>
    <row r="30" spans="1:7" x14ac:dyDescent="0.25">
      <c r="A30" s="12">
        <v>45664</v>
      </c>
      <c r="B30" t="s">
        <v>10</v>
      </c>
      <c r="C30" t="s">
        <v>11</v>
      </c>
      <c r="D30">
        <v>44.360300000000002</v>
      </c>
      <c r="E30">
        <v>3337</v>
      </c>
      <c r="F30">
        <v>396</v>
      </c>
      <c r="G30">
        <v>2941</v>
      </c>
    </row>
    <row r="31" spans="1:7" x14ac:dyDescent="0.25">
      <c r="A31" s="12">
        <v>45664</v>
      </c>
      <c r="B31" t="s">
        <v>12</v>
      </c>
      <c r="C31" t="s">
        <v>13</v>
      </c>
      <c r="D31">
        <v>39.732300000000002</v>
      </c>
      <c r="E31">
        <v>1032</v>
      </c>
      <c r="F31">
        <v>48</v>
      </c>
      <c r="G31">
        <v>984</v>
      </c>
    </row>
    <row r="32" spans="1:7" x14ac:dyDescent="0.25">
      <c r="A32" s="12">
        <v>45664</v>
      </c>
      <c r="B32" t="s">
        <v>14</v>
      </c>
      <c r="C32" t="s">
        <v>15</v>
      </c>
      <c r="D32">
        <v>92.684899999999999</v>
      </c>
      <c r="E32">
        <v>355945</v>
      </c>
      <c r="F32">
        <v>2020</v>
      </c>
      <c r="G32">
        <v>353925</v>
      </c>
    </row>
    <row r="33" spans="1:7" x14ac:dyDescent="0.25">
      <c r="A33" s="12">
        <v>45664</v>
      </c>
      <c r="B33" t="s">
        <v>16</v>
      </c>
      <c r="C33" t="s">
        <v>17</v>
      </c>
      <c r="D33">
        <v>4.4747000000000003</v>
      </c>
      <c r="E33">
        <v>0</v>
      </c>
      <c r="F33" t="s">
        <v>181</v>
      </c>
      <c r="G33" t="s">
        <v>181</v>
      </c>
    </row>
    <row r="34" spans="1:7" x14ac:dyDescent="0.25">
      <c r="A34" s="12">
        <v>45664</v>
      </c>
      <c r="B34" t="s">
        <v>18</v>
      </c>
      <c r="C34" t="s">
        <v>19</v>
      </c>
      <c r="D34">
        <v>1</v>
      </c>
      <c r="E34">
        <v>0</v>
      </c>
      <c r="F34" t="s">
        <v>181</v>
      </c>
      <c r="G34" t="s">
        <v>181</v>
      </c>
    </row>
    <row r="35" spans="1:7" x14ac:dyDescent="0.25">
      <c r="A35" s="12">
        <v>45664</v>
      </c>
      <c r="B35" t="s">
        <v>20</v>
      </c>
      <c r="C35" t="s">
        <v>21</v>
      </c>
      <c r="D35">
        <v>1</v>
      </c>
      <c r="E35">
        <v>1008</v>
      </c>
      <c r="F35" t="s">
        <v>181</v>
      </c>
      <c r="G35">
        <v>1008</v>
      </c>
    </row>
    <row r="36" spans="1:7" x14ac:dyDescent="0.25">
      <c r="A36" s="12">
        <v>45664</v>
      </c>
      <c r="B36" t="s">
        <v>22</v>
      </c>
      <c r="C36" t="s">
        <v>23</v>
      </c>
      <c r="D36">
        <v>20.703900000000001</v>
      </c>
      <c r="E36">
        <v>2884</v>
      </c>
      <c r="F36" t="s">
        <v>181</v>
      </c>
      <c r="G36">
        <v>2884</v>
      </c>
    </row>
    <row r="37" spans="1:7" x14ac:dyDescent="0.25">
      <c r="A37" s="12">
        <v>45664</v>
      </c>
      <c r="B37" t="s">
        <v>24</v>
      </c>
      <c r="C37" t="s">
        <v>25</v>
      </c>
      <c r="D37">
        <v>12.9773</v>
      </c>
      <c r="E37">
        <v>0</v>
      </c>
      <c r="F37" t="s">
        <v>181</v>
      </c>
      <c r="G37" t="s">
        <v>181</v>
      </c>
    </row>
    <row r="38" spans="1:7" x14ac:dyDescent="0.25">
      <c r="A38" s="12">
        <v>45664</v>
      </c>
      <c r="B38" t="s">
        <v>26</v>
      </c>
      <c r="C38" t="s">
        <v>27</v>
      </c>
      <c r="D38">
        <v>1</v>
      </c>
      <c r="E38">
        <v>0</v>
      </c>
      <c r="F38" t="s">
        <v>181</v>
      </c>
      <c r="G38" t="s">
        <v>181</v>
      </c>
    </row>
    <row r="39" spans="1:7" x14ac:dyDescent="0.25">
      <c r="A39" s="12">
        <v>45664</v>
      </c>
      <c r="B39" t="s">
        <v>28</v>
      </c>
      <c r="C39" t="s">
        <v>29</v>
      </c>
      <c r="D39">
        <v>45.4129</v>
      </c>
      <c r="E39">
        <v>1152</v>
      </c>
      <c r="F39">
        <v>625</v>
      </c>
      <c r="G39">
        <v>527</v>
      </c>
    </row>
    <row r="40" spans="1:7" x14ac:dyDescent="0.25">
      <c r="A40" s="12">
        <v>45664</v>
      </c>
      <c r="B40" t="s">
        <v>30</v>
      </c>
      <c r="C40" t="s">
        <v>31</v>
      </c>
      <c r="D40">
        <v>80.528099999999995</v>
      </c>
      <c r="E40">
        <v>542786</v>
      </c>
      <c r="F40">
        <v>206306</v>
      </c>
      <c r="G40">
        <v>336480</v>
      </c>
    </row>
    <row r="41" spans="1:7" x14ac:dyDescent="0.25">
      <c r="A41" s="12">
        <v>45664</v>
      </c>
      <c r="B41" t="s">
        <v>32</v>
      </c>
      <c r="C41" t="s">
        <v>33</v>
      </c>
      <c r="D41">
        <v>1.8461000000000001</v>
      </c>
      <c r="E41">
        <v>0</v>
      </c>
      <c r="F41" t="s">
        <v>181</v>
      </c>
      <c r="G41" t="s">
        <v>181</v>
      </c>
    </row>
    <row r="42" spans="1:7" x14ac:dyDescent="0.25">
      <c r="A42" s="12">
        <v>45664</v>
      </c>
      <c r="B42" t="s">
        <v>34</v>
      </c>
      <c r="C42" t="s">
        <v>35</v>
      </c>
      <c r="D42">
        <v>52.090200000000003</v>
      </c>
      <c r="E42">
        <v>72732</v>
      </c>
      <c r="F42">
        <v>204</v>
      </c>
      <c r="G42">
        <v>72528</v>
      </c>
    </row>
    <row r="43" spans="1:7" x14ac:dyDescent="0.25">
      <c r="A43" s="12">
        <v>45664</v>
      </c>
      <c r="B43" t="s">
        <v>36</v>
      </c>
      <c r="C43" t="s">
        <v>37</v>
      </c>
      <c r="D43">
        <v>32.676000000000002</v>
      </c>
      <c r="E43">
        <v>4080</v>
      </c>
      <c r="F43">
        <v>3528</v>
      </c>
      <c r="G43">
        <v>552</v>
      </c>
    </row>
    <row r="44" spans="1:7" x14ac:dyDescent="0.25">
      <c r="A44" s="12">
        <v>45664</v>
      </c>
      <c r="B44" t="s">
        <v>39</v>
      </c>
      <c r="C44" t="s">
        <v>40</v>
      </c>
      <c r="D44">
        <v>101.56529999999999</v>
      </c>
      <c r="E44">
        <v>63817</v>
      </c>
      <c r="F44">
        <v>63817</v>
      </c>
      <c r="G44" t="s">
        <v>181</v>
      </c>
    </row>
    <row r="45" spans="1:7" x14ac:dyDescent="0.25">
      <c r="A45" s="12">
        <v>45664</v>
      </c>
      <c r="B45" t="s">
        <v>41</v>
      </c>
      <c r="C45" t="s">
        <v>42</v>
      </c>
      <c r="D45">
        <v>84.104299999999995</v>
      </c>
      <c r="E45">
        <v>1443642</v>
      </c>
      <c r="F45">
        <v>1443642</v>
      </c>
      <c r="G45" t="s">
        <v>181</v>
      </c>
    </row>
    <row r="46" spans="1:7" x14ac:dyDescent="0.25">
      <c r="A46" s="12">
        <v>45664</v>
      </c>
      <c r="B46" t="s">
        <v>43</v>
      </c>
      <c r="C46" t="s">
        <v>44</v>
      </c>
      <c r="D46">
        <v>103.4541</v>
      </c>
      <c r="E46">
        <v>3768</v>
      </c>
      <c r="F46">
        <v>3768</v>
      </c>
      <c r="G46" t="s">
        <v>181</v>
      </c>
    </row>
    <row r="47" spans="1:7" x14ac:dyDescent="0.25">
      <c r="A47" s="12">
        <v>45664</v>
      </c>
      <c r="B47" t="s">
        <v>45</v>
      </c>
      <c r="C47" t="s">
        <v>46</v>
      </c>
      <c r="D47">
        <v>100.4097</v>
      </c>
      <c r="E47">
        <v>20313</v>
      </c>
      <c r="F47">
        <v>20313</v>
      </c>
      <c r="G47" t="s">
        <v>181</v>
      </c>
    </row>
    <row r="48" spans="1:7" x14ac:dyDescent="0.25">
      <c r="A48" s="12">
        <v>45664</v>
      </c>
      <c r="B48" t="s">
        <v>47</v>
      </c>
      <c r="C48" t="s">
        <v>48</v>
      </c>
      <c r="D48">
        <v>64.122799999999998</v>
      </c>
      <c r="E48">
        <v>1319</v>
      </c>
      <c r="F48">
        <v>647</v>
      </c>
      <c r="G48">
        <v>672</v>
      </c>
    </row>
    <row r="49" spans="1:7" x14ac:dyDescent="0.25">
      <c r="A49" s="12">
        <v>45664</v>
      </c>
      <c r="B49" t="s">
        <v>49</v>
      </c>
      <c r="C49" t="s">
        <v>50</v>
      </c>
      <c r="D49">
        <v>48.055900000000001</v>
      </c>
      <c r="E49">
        <v>12216</v>
      </c>
      <c r="F49">
        <v>264</v>
      </c>
      <c r="G49">
        <v>11952</v>
      </c>
    </row>
    <row r="50" spans="1:7" x14ac:dyDescent="0.25">
      <c r="A50" s="12">
        <v>45664</v>
      </c>
      <c r="B50" t="s">
        <v>51</v>
      </c>
      <c r="C50" t="s">
        <v>52</v>
      </c>
      <c r="D50">
        <v>32.889699999999998</v>
      </c>
      <c r="E50">
        <v>48720</v>
      </c>
      <c r="F50">
        <v>1800</v>
      </c>
      <c r="G50">
        <v>46920</v>
      </c>
    </row>
    <row r="51" spans="1:7" x14ac:dyDescent="0.25">
      <c r="A51" s="12">
        <v>45664</v>
      </c>
      <c r="B51" t="s">
        <v>53</v>
      </c>
      <c r="C51" t="s">
        <v>54</v>
      </c>
      <c r="D51">
        <v>40.484299999999998</v>
      </c>
      <c r="E51">
        <v>5424</v>
      </c>
      <c r="F51" t="s">
        <v>181</v>
      </c>
      <c r="G51">
        <v>5424</v>
      </c>
    </row>
    <row r="52" spans="1:7" x14ac:dyDescent="0.25">
      <c r="A52" s="12">
        <v>45664</v>
      </c>
      <c r="B52" t="s">
        <v>55</v>
      </c>
      <c r="C52" t="s">
        <v>56</v>
      </c>
      <c r="D52">
        <v>43.512300000000003</v>
      </c>
      <c r="E52">
        <v>19056</v>
      </c>
      <c r="F52">
        <v>2256</v>
      </c>
      <c r="G52">
        <v>16800</v>
      </c>
    </row>
    <row r="53" spans="1:7" x14ac:dyDescent="0.25">
      <c r="A53" s="12">
        <v>45664</v>
      </c>
      <c r="B53" t="s">
        <v>57</v>
      </c>
      <c r="C53" t="s">
        <v>58</v>
      </c>
      <c r="D53">
        <v>30.793099999999999</v>
      </c>
      <c r="E53">
        <v>48</v>
      </c>
      <c r="F53">
        <v>48</v>
      </c>
      <c r="G53" t="s">
        <v>181</v>
      </c>
    </row>
    <row r="54" spans="1:7" x14ac:dyDescent="0.25">
      <c r="A54" s="12">
        <v>45664</v>
      </c>
      <c r="B54" t="s">
        <v>59</v>
      </c>
      <c r="C54" t="s">
        <v>60</v>
      </c>
      <c r="D54">
        <v>53.425400000000003</v>
      </c>
      <c r="F54" t="s">
        <v>181</v>
      </c>
      <c r="G54" t="s">
        <v>181</v>
      </c>
    </row>
    <row r="55" spans="1:7" x14ac:dyDescent="0.25">
      <c r="A55" s="12">
        <v>45664</v>
      </c>
      <c r="B55" t="s">
        <v>61</v>
      </c>
      <c r="C55" t="s">
        <v>62</v>
      </c>
      <c r="D55">
        <v>98.039199999999994</v>
      </c>
      <c r="F55" t="s">
        <v>181</v>
      </c>
      <c r="G55" t="s">
        <v>181</v>
      </c>
    </row>
    <row r="56" spans="1:7" x14ac:dyDescent="0.25">
      <c r="A56" s="12">
        <v>45676</v>
      </c>
      <c r="B56" t="s">
        <v>8</v>
      </c>
      <c r="C56" t="s">
        <v>9</v>
      </c>
      <c r="D56">
        <v>26.795000000000002</v>
      </c>
      <c r="E56">
        <v>392171</v>
      </c>
      <c r="F56">
        <v>166320</v>
      </c>
      <c r="G56">
        <v>119805</v>
      </c>
    </row>
    <row r="57" spans="1:7" x14ac:dyDescent="0.25">
      <c r="A57" s="12">
        <v>45676</v>
      </c>
      <c r="B57" t="s">
        <v>10</v>
      </c>
      <c r="C57" t="s">
        <v>11</v>
      </c>
      <c r="D57">
        <v>44.3643</v>
      </c>
      <c r="E57">
        <v>476251</v>
      </c>
      <c r="F57">
        <v>132456</v>
      </c>
      <c r="G57">
        <v>142116</v>
      </c>
    </row>
    <row r="58" spans="1:7" x14ac:dyDescent="0.25">
      <c r="A58" s="12">
        <v>45676</v>
      </c>
      <c r="B58" t="s">
        <v>12</v>
      </c>
      <c r="C58" t="s">
        <v>13</v>
      </c>
      <c r="D58">
        <v>37.338799999999999</v>
      </c>
      <c r="E58">
        <v>34413</v>
      </c>
      <c r="F58">
        <v>40</v>
      </c>
      <c r="G58">
        <v>938</v>
      </c>
    </row>
    <row r="59" spans="1:7" x14ac:dyDescent="0.25">
      <c r="A59" s="12">
        <v>45676</v>
      </c>
      <c r="B59" t="s">
        <v>14</v>
      </c>
      <c r="C59" t="s">
        <v>15</v>
      </c>
      <c r="D59">
        <v>92.014499999999998</v>
      </c>
      <c r="E59">
        <v>333547</v>
      </c>
      <c r="F59">
        <v>2020</v>
      </c>
      <c r="G59">
        <v>326226</v>
      </c>
    </row>
    <row r="60" spans="1:7" x14ac:dyDescent="0.25">
      <c r="A60" s="12">
        <v>45676</v>
      </c>
      <c r="B60" t="s">
        <v>16</v>
      </c>
      <c r="C60" t="s">
        <v>17</v>
      </c>
      <c r="D60">
        <v>1.9273</v>
      </c>
      <c r="E60">
        <v>21933</v>
      </c>
    </row>
    <row r="61" spans="1:7" x14ac:dyDescent="0.25">
      <c r="A61" s="12">
        <v>45676</v>
      </c>
      <c r="B61" t="s">
        <v>18</v>
      </c>
      <c r="C61" t="s">
        <v>19</v>
      </c>
      <c r="D61">
        <v>1</v>
      </c>
      <c r="E61">
        <v>4985</v>
      </c>
    </row>
    <row r="62" spans="1:7" x14ac:dyDescent="0.25">
      <c r="A62" s="12">
        <v>45676</v>
      </c>
      <c r="B62" t="s">
        <v>20</v>
      </c>
      <c r="C62" t="s">
        <v>21</v>
      </c>
      <c r="D62">
        <v>1</v>
      </c>
      <c r="E62">
        <v>1008</v>
      </c>
      <c r="G62">
        <v>1008</v>
      </c>
    </row>
    <row r="63" spans="1:7" x14ac:dyDescent="0.25">
      <c r="A63" s="12">
        <v>45676</v>
      </c>
      <c r="B63" t="s">
        <v>22</v>
      </c>
      <c r="C63" t="s">
        <v>23</v>
      </c>
      <c r="D63">
        <v>17.007300000000001</v>
      </c>
      <c r="E63">
        <v>5139</v>
      </c>
      <c r="G63">
        <v>2884</v>
      </c>
    </row>
    <row r="64" spans="1:7" x14ac:dyDescent="0.25">
      <c r="A64" s="12">
        <v>45676</v>
      </c>
      <c r="B64" t="s">
        <v>24</v>
      </c>
      <c r="C64" t="s">
        <v>25</v>
      </c>
      <c r="D64">
        <v>12.9773</v>
      </c>
      <c r="E64">
        <v>12484</v>
      </c>
    </row>
    <row r="65" spans="1:7" x14ac:dyDescent="0.25">
      <c r="A65" s="12">
        <v>45676</v>
      </c>
      <c r="B65" t="s">
        <v>26</v>
      </c>
      <c r="C65" t="s">
        <v>27</v>
      </c>
      <c r="D65">
        <v>1</v>
      </c>
      <c r="E65">
        <v>360</v>
      </c>
    </row>
    <row r="66" spans="1:7" x14ac:dyDescent="0.25">
      <c r="A66" s="12">
        <v>45676</v>
      </c>
      <c r="B66" t="s">
        <v>28</v>
      </c>
      <c r="C66" t="s">
        <v>29</v>
      </c>
      <c r="D66">
        <v>42.9345</v>
      </c>
      <c r="E66">
        <v>85932</v>
      </c>
      <c r="F66">
        <v>12769</v>
      </c>
      <c r="G66">
        <v>9845</v>
      </c>
    </row>
    <row r="67" spans="1:7" x14ac:dyDescent="0.25">
      <c r="A67" s="12">
        <v>45676</v>
      </c>
      <c r="B67" t="s">
        <v>30</v>
      </c>
      <c r="C67" t="s">
        <v>31</v>
      </c>
      <c r="D67">
        <v>80.528099999999995</v>
      </c>
      <c r="E67">
        <v>448500</v>
      </c>
      <c r="F67">
        <v>806</v>
      </c>
      <c r="G67">
        <v>259578</v>
      </c>
    </row>
    <row r="68" spans="1:7" x14ac:dyDescent="0.25">
      <c r="A68" s="12">
        <v>45676</v>
      </c>
      <c r="B68" t="s">
        <v>32</v>
      </c>
      <c r="C68" t="s">
        <v>33</v>
      </c>
      <c r="D68">
        <v>1.8461000000000001</v>
      </c>
      <c r="E68">
        <v>7337</v>
      </c>
    </row>
    <row r="69" spans="1:7" x14ac:dyDescent="0.25">
      <c r="A69" s="12">
        <v>45676</v>
      </c>
      <c r="B69" t="s">
        <v>34</v>
      </c>
      <c r="C69" t="s">
        <v>35</v>
      </c>
      <c r="D69">
        <v>46.745600000000003</v>
      </c>
      <c r="E69">
        <v>146145</v>
      </c>
      <c r="F69">
        <v>41004</v>
      </c>
      <c r="G69">
        <v>60518</v>
      </c>
    </row>
    <row r="70" spans="1:7" x14ac:dyDescent="0.25">
      <c r="A70" s="12">
        <v>45676</v>
      </c>
      <c r="B70" t="s">
        <v>36</v>
      </c>
      <c r="C70" t="s">
        <v>37</v>
      </c>
      <c r="D70">
        <v>31.197299999999998</v>
      </c>
      <c r="E70">
        <v>351231</v>
      </c>
      <c r="F70">
        <v>238920</v>
      </c>
      <c r="G70">
        <v>77342</v>
      </c>
    </row>
    <row r="71" spans="1:7" x14ac:dyDescent="0.25">
      <c r="A71" s="12">
        <v>45676</v>
      </c>
      <c r="B71" t="s">
        <v>39</v>
      </c>
      <c r="C71" t="s">
        <v>40</v>
      </c>
      <c r="D71">
        <v>101.56529999999999</v>
      </c>
      <c r="E71">
        <v>67873</v>
      </c>
      <c r="F71">
        <v>63817</v>
      </c>
    </row>
    <row r="72" spans="1:7" x14ac:dyDescent="0.25">
      <c r="A72" s="12">
        <v>45676</v>
      </c>
      <c r="B72" t="s">
        <v>41</v>
      </c>
      <c r="C72" t="s">
        <v>42</v>
      </c>
      <c r="D72">
        <v>84.104299999999995</v>
      </c>
      <c r="E72">
        <v>982180</v>
      </c>
      <c r="F72">
        <v>978426</v>
      </c>
    </row>
    <row r="73" spans="1:7" x14ac:dyDescent="0.25">
      <c r="A73" s="12">
        <v>45676</v>
      </c>
      <c r="B73" t="s">
        <v>43</v>
      </c>
      <c r="C73" t="s">
        <v>44</v>
      </c>
      <c r="D73">
        <v>103.4541</v>
      </c>
      <c r="E73">
        <v>12312</v>
      </c>
      <c r="F73">
        <v>3768</v>
      </c>
    </row>
    <row r="74" spans="1:7" x14ac:dyDescent="0.25">
      <c r="A74" s="12">
        <v>45676</v>
      </c>
      <c r="B74" t="s">
        <v>45</v>
      </c>
      <c r="C74" t="s">
        <v>46</v>
      </c>
      <c r="D74">
        <v>100.4097</v>
      </c>
      <c r="E74">
        <v>23649</v>
      </c>
      <c r="F74">
        <v>20313</v>
      </c>
    </row>
    <row r="75" spans="1:7" x14ac:dyDescent="0.25">
      <c r="A75" s="12">
        <v>45676</v>
      </c>
      <c r="B75" t="s">
        <v>47</v>
      </c>
      <c r="C75" t="s">
        <v>48</v>
      </c>
      <c r="D75">
        <v>64.122799999999998</v>
      </c>
      <c r="E75">
        <v>1209</v>
      </c>
      <c r="F75">
        <v>493</v>
      </c>
      <c r="G75">
        <v>672</v>
      </c>
    </row>
    <row r="76" spans="1:7" x14ac:dyDescent="0.25">
      <c r="A76" s="12">
        <v>45676</v>
      </c>
      <c r="B76" t="s">
        <v>49</v>
      </c>
      <c r="C76" t="s">
        <v>50</v>
      </c>
      <c r="D76">
        <v>31.975300000000001</v>
      </c>
      <c r="E76">
        <v>4591</v>
      </c>
      <c r="F76">
        <v>4214</v>
      </c>
      <c r="G76">
        <v>0</v>
      </c>
    </row>
    <row r="77" spans="1:7" x14ac:dyDescent="0.25">
      <c r="A77" s="12">
        <v>45676</v>
      </c>
      <c r="B77" t="s">
        <v>51</v>
      </c>
      <c r="C77" t="s">
        <v>52</v>
      </c>
      <c r="D77">
        <v>32.889699999999998</v>
      </c>
      <c r="E77">
        <v>38982</v>
      </c>
      <c r="F77">
        <v>1646</v>
      </c>
      <c r="G77">
        <v>37320</v>
      </c>
    </row>
    <row r="78" spans="1:7" x14ac:dyDescent="0.25">
      <c r="A78" s="12">
        <v>45676</v>
      </c>
      <c r="B78" t="s">
        <v>53</v>
      </c>
      <c r="C78" t="s">
        <v>54</v>
      </c>
      <c r="D78">
        <v>40.484299999999998</v>
      </c>
      <c r="E78">
        <v>5536</v>
      </c>
      <c r="G78">
        <v>5424</v>
      </c>
    </row>
    <row r="79" spans="1:7" x14ac:dyDescent="0.25">
      <c r="A79" s="12">
        <v>45676</v>
      </c>
      <c r="B79" t="s">
        <v>55</v>
      </c>
      <c r="C79" t="s">
        <v>56</v>
      </c>
      <c r="D79">
        <v>50.482799999999997</v>
      </c>
      <c r="E79">
        <v>385008</v>
      </c>
      <c r="F79">
        <v>122184</v>
      </c>
      <c r="G79">
        <v>2400</v>
      </c>
    </row>
    <row r="80" spans="1:7" x14ac:dyDescent="0.25">
      <c r="A80" s="12">
        <v>45676</v>
      </c>
      <c r="B80" t="s">
        <v>57</v>
      </c>
      <c r="C80" t="s">
        <v>58</v>
      </c>
      <c r="D80">
        <v>30.793099999999999</v>
      </c>
      <c r="E80">
        <v>43200</v>
      </c>
      <c r="F80">
        <v>48</v>
      </c>
    </row>
    <row r="81" spans="1:7" x14ac:dyDescent="0.25">
      <c r="A81" s="12">
        <v>45676</v>
      </c>
      <c r="B81" t="s">
        <v>59</v>
      </c>
      <c r="C81" t="s">
        <v>60</v>
      </c>
      <c r="D81">
        <v>53.425400000000003</v>
      </c>
      <c r="E81">
        <v>0</v>
      </c>
    </row>
    <row r="82" spans="1:7" x14ac:dyDescent="0.25">
      <c r="A82" s="12">
        <v>45676</v>
      </c>
      <c r="B82" t="s">
        <v>61</v>
      </c>
      <c r="C82" t="s">
        <v>62</v>
      </c>
      <c r="D82">
        <v>98.039199999999994</v>
      </c>
      <c r="E82">
        <v>0</v>
      </c>
    </row>
    <row r="83" spans="1:7" x14ac:dyDescent="0.25">
      <c r="A83" s="12">
        <v>45677</v>
      </c>
      <c r="B83" t="s">
        <v>8</v>
      </c>
      <c r="C83" t="s">
        <v>9</v>
      </c>
      <c r="D83">
        <v>10.062799999999999</v>
      </c>
      <c r="E83">
        <v>339371</v>
      </c>
      <c r="F83">
        <v>113520</v>
      </c>
      <c r="G83">
        <v>143805</v>
      </c>
    </row>
    <row r="84" spans="1:7" x14ac:dyDescent="0.25">
      <c r="A84" s="12">
        <v>45677</v>
      </c>
      <c r="B84" t="s">
        <v>10</v>
      </c>
      <c r="C84" t="s">
        <v>11</v>
      </c>
      <c r="D84">
        <v>42.016100000000002</v>
      </c>
      <c r="E84">
        <v>462571</v>
      </c>
      <c r="F84">
        <v>132456</v>
      </c>
      <c r="G84">
        <v>127716</v>
      </c>
    </row>
    <row r="85" spans="1:7" x14ac:dyDescent="0.25">
      <c r="A85" s="12">
        <v>45677</v>
      </c>
      <c r="B85" t="s">
        <v>12</v>
      </c>
      <c r="C85" t="s">
        <v>13</v>
      </c>
      <c r="D85">
        <v>37.338799999999999</v>
      </c>
      <c r="E85">
        <v>34433</v>
      </c>
      <c r="F85">
        <v>40</v>
      </c>
      <c r="G85">
        <v>938</v>
      </c>
    </row>
    <row r="86" spans="1:7" x14ac:dyDescent="0.25">
      <c r="A86" s="12">
        <v>45677</v>
      </c>
      <c r="B86" t="s">
        <v>14</v>
      </c>
      <c r="C86" t="s">
        <v>15</v>
      </c>
      <c r="D86">
        <v>92.014499999999998</v>
      </c>
      <c r="E86">
        <v>328771</v>
      </c>
      <c r="F86">
        <v>2020</v>
      </c>
      <c r="G86">
        <v>321426</v>
      </c>
    </row>
    <row r="87" spans="1:7" x14ac:dyDescent="0.25">
      <c r="A87" s="12">
        <v>45677</v>
      </c>
      <c r="B87" t="s">
        <v>16</v>
      </c>
      <c r="C87" t="s">
        <v>17</v>
      </c>
      <c r="D87">
        <v>1.9273</v>
      </c>
      <c r="E87">
        <v>21933</v>
      </c>
    </row>
    <row r="88" spans="1:7" x14ac:dyDescent="0.25">
      <c r="A88" s="12">
        <v>45677</v>
      </c>
      <c r="B88" t="s">
        <v>18</v>
      </c>
      <c r="C88" t="s">
        <v>19</v>
      </c>
      <c r="D88">
        <v>1</v>
      </c>
      <c r="E88">
        <v>76409</v>
      </c>
      <c r="F88">
        <v>71424</v>
      </c>
    </row>
    <row r="89" spans="1:7" x14ac:dyDescent="0.25">
      <c r="A89" s="12">
        <v>45677</v>
      </c>
      <c r="B89" t="s">
        <v>20</v>
      </c>
      <c r="C89" t="s">
        <v>21</v>
      </c>
      <c r="D89">
        <v>1</v>
      </c>
      <c r="E89">
        <v>1008</v>
      </c>
      <c r="G89">
        <v>1008</v>
      </c>
    </row>
    <row r="90" spans="1:7" x14ac:dyDescent="0.25">
      <c r="A90" s="12">
        <v>45677</v>
      </c>
      <c r="B90" t="s">
        <v>22</v>
      </c>
      <c r="C90" t="s">
        <v>23</v>
      </c>
      <c r="D90">
        <v>17.007300000000001</v>
      </c>
      <c r="E90">
        <v>5139</v>
      </c>
      <c r="G90">
        <v>2884</v>
      </c>
    </row>
    <row r="91" spans="1:7" x14ac:dyDescent="0.25">
      <c r="A91" s="12">
        <v>45677</v>
      </c>
      <c r="B91" t="s">
        <v>24</v>
      </c>
      <c r="C91" t="s">
        <v>25</v>
      </c>
      <c r="D91">
        <v>12.9773</v>
      </c>
      <c r="E91">
        <v>13004</v>
      </c>
    </row>
    <row r="92" spans="1:7" x14ac:dyDescent="0.25">
      <c r="A92" s="12">
        <v>45677</v>
      </c>
      <c r="B92" t="s">
        <v>26</v>
      </c>
      <c r="C92" t="s">
        <v>27</v>
      </c>
      <c r="D92">
        <v>1</v>
      </c>
      <c r="E92">
        <v>360</v>
      </c>
    </row>
    <row r="93" spans="1:7" x14ac:dyDescent="0.25">
      <c r="A93" s="12">
        <v>45677</v>
      </c>
      <c r="B93" t="s">
        <v>28</v>
      </c>
      <c r="C93" t="s">
        <v>29</v>
      </c>
      <c r="D93">
        <v>41.789499999999997</v>
      </c>
      <c r="E93">
        <v>84156</v>
      </c>
      <c r="F93">
        <v>12769</v>
      </c>
      <c r="G93">
        <v>0</v>
      </c>
    </row>
    <row r="94" spans="1:7" x14ac:dyDescent="0.25">
      <c r="A94" s="12">
        <v>45677</v>
      </c>
      <c r="B94" t="s">
        <v>30</v>
      </c>
      <c r="C94" t="s">
        <v>31</v>
      </c>
      <c r="D94">
        <v>80.528099999999995</v>
      </c>
      <c r="E94">
        <v>447900</v>
      </c>
      <c r="F94">
        <v>806</v>
      </c>
      <c r="G94">
        <v>253578</v>
      </c>
    </row>
    <row r="95" spans="1:7" x14ac:dyDescent="0.25">
      <c r="A95" s="12">
        <v>45677</v>
      </c>
      <c r="B95" t="s">
        <v>32</v>
      </c>
      <c r="C95" t="s">
        <v>33</v>
      </c>
      <c r="D95">
        <v>1.8461000000000001</v>
      </c>
      <c r="E95">
        <v>7457</v>
      </c>
    </row>
    <row r="96" spans="1:7" x14ac:dyDescent="0.25">
      <c r="A96" s="12">
        <v>45677</v>
      </c>
      <c r="B96" t="s">
        <v>34</v>
      </c>
      <c r="C96" t="s">
        <v>35</v>
      </c>
      <c r="D96">
        <v>49.689700000000002</v>
      </c>
      <c r="E96">
        <v>146179</v>
      </c>
      <c r="F96">
        <v>41004</v>
      </c>
      <c r="G96">
        <v>58118</v>
      </c>
    </row>
    <row r="97" spans="1:7" x14ac:dyDescent="0.25">
      <c r="A97" s="12">
        <v>45677</v>
      </c>
      <c r="B97" t="s">
        <v>36</v>
      </c>
      <c r="C97" t="s">
        <v>37</v>
      </c>
      <c r="D97">
        <v>29.566099999999999</v>
      </c>
      <c r="E97">
        <v>351279</v>
      </c>
      <c r="F97">
        <v>238920</v>
      </c>
      <c r="G97">
        <v>77342</v>
      </c>
    </row>
    <row r="98" spans="1:7" x14ac:dyDescent="0.25">
      <c r="A98" s="12">
        <v>45677</v>
      </c>
      <c r="B98" t="s">
        <v>39</v>
      </c>
      <c r="C98" t="s">
        <v>40</v>
      </c>
      <c r="D98">
        <v>101.56529999999999</v>
      </c>
      <c r="E98">
        <v>62873</v>
      </c>
      <c r="F98">
        <v>58817</v>
      </c>
    </row>
    <row r="99" spans="1:7" x14ac:dyDescent="0.25">
      <c r="A99" s="12">
        <v>45677</v>
      </c>
      <c r="B99" t="s">
        <v>41</v>
      </c>
      <c r="C99" t="s">
        <v>42</v>
      </c>
      <c r="D99">
        <v>84.104299999999995</v>
      </c>
      <c r="E99">
        <v>862180</v>
      </c>
      <c r="F99">
        <v>858426</v>
      </c>
    </row>
    <row r="100" spans="1:7" x14ac:dyDescent="0.25">
      <c r="A100" s="12">
        <v>45677</v>
      </c>
      <c r="B100" t="s">
        <v>43</v>
      </c>
      <c r="C100" t="s">
        <v>44</v>
      </c>
      <c r="D100">
        <v>103.4541</v>
      </c>
      <c r="E100">
        <v>12312</v>
      </c>
      <c r="F100">
        <v>3768</v>
      </c>
    </row>
    <row r="101" spans="1:7" x14ac:dyDescent="0.25">
      <c r="A101" s="12">
        <v>45677</v>
      </c>
      <c r="B101" t="s">
        <v>45</v>
      </c>
      <c r="C101" t="s">
        <v>46</v>
      </c>
      <c r="D101">
        <v>100.4097</v>
      </c>
      <c r="E101">
        <v>23649</v>
      </c>
      <c r="F101">
        <v>20313</v>
      </c>
    </row>
    <row r="102" spans="1:7" x14ac:dyDescent="0.25">
      <c r="A102" s="12">
        <v>45677</v>
      </c>
      <c r="B102" t="s">
        <v>47</v>
      </c>
      <c r="C102" t="s">
        <v>48</v>
      </c>
      <c r="D102">
        <v>64.122799999999998</v>
      </c>
      <c r="E102">
        <v>53457</v>
      </c>
      <c r="F102">
        <v>2341</v>
      </c>
      <c r="G102">
        <v>39072</v>
      </c>
    </row>
    <row r="103" spans="1:7" x14ac:dyDescent="0.25">
      <c r="A103" s="12">
        <v>45677</v>
      </c>
      <c r="B103" t="s">
        <v>49</v>
      </c>
      <c r="C103" t="s">
        <v>50</v>
      </c>
      <c r="D103">
        <v>46.709099999999999</v>
      </c>
      <c r="E103">
        <v>53047</v>
      </c>
      <c r="F103">
        <v>52670</v>
      </c>
      <c r="G103">
        <v>0</v>
      </c>
    </row>
    <row r="104" spans="1:7" x14ac:dyDescent="0.25">
      <c r="A104" s="12">
        <v>45677</v>
      </c>
      <c r="B104" t="s">
        <v>51</v>
      </c>
      <c r="C104" t="s">
        <v>52</v>
      </c>
      <c r="D104">
        <v>32.889699999999998</v>
      </c>
      <c r="E104">
        <v>36582</v>
      </c>
      <c r="F104">
        <v>1646</v>
      </c>
      <c r="G104">
        <v>34920</v>
      </c>
    </row>
    <row r="105" spans="1:7" x14ac:dyDescent="0.25">
      <c r="A105" s="12">
        <v>45677</v>
      </c>
      <c r="B105" t="s">
        <v>59</v>
      </c>
      <c r="C105" t="s">
        <v>60</v>
      </c>
      <c r="D105">
        <v>53.934199999999997</v>
      </c>
      <c r="E105">
        <v>67128</v>
      </c>
      <c r="F105">
        <v>67128</v>
      </c>
    </row>
    <row r="106" spans="1:7" x14ac:dyDescent="0.25">
      <c r="A106" s="12">
        <v>45677</v>
      </c>
      <c r="B106" t="s">
        <v>53</v>
      </c>
      <c r="C106" t="s">
        <v>54</v>
      </c>
      <c r="D106">
        <v>40.484299999999998</v>
      </c>
      <c r="E106">
        <v>3136</v>
      </c>
      <c r="G106">
        <v>3024</v>
      </c>
    </row>
    <row r="107" spans="1:7" x14ac:dyDescent="0.25">
      <c r="A107" s="12">
        <v>45677</v>
      </c>
      <c r="B107" t="s">
        <v>55</v>
      </c>
      <c r="C107" t="s">
        <v>56</v>
      </c>
      <c r="D107">
        <v>43.512300000000003</v>
      </c>
      <c r="E107">
        <v>385008</v>
      </c>
      <c r="F107">
        <v>293808</v>
      </c>
      <c r="G107">
        <v>2400</v>
      </c>
    </row>
    <row r="108" spans="1:7" x14ac:dyDescent="0.25">
      <c r="A108" s="12">
        <v>45677</v>
      </c>
      <c r="B108" t="s">
        <v>57</v>
      </c>
      <c r="C108" t="s">
        <v>58</v>
      </c>
      <c r="D108">
        <v>30.793099999999999</v>
      </c>
      <c r="E108">
        <v>43200</v>
      </c>
      <c r="F108">
        <v>48</v>
      </c>
    </row>
    <row r="109" spans="1:7" x14ac:dyDescent="0.25">
      <c r="A109" s="12">
        <v>45677</v>
      </c>
      <c r="B109" t="s">
        <v>61</v>
      </c>
      <c r="C109" t="s">
        <v>62</v>
      </c>
      <c r="D109">
        <v>98.039199999999994</v>
      </c>
      <c r="E109">
        <v>0</v>
      </c>
    </row>
    <row r="110" spans="1:7" x14ac:dyDescent="0.25">
      <c r="A110" s="12">
        <v>45678</v>
      </c>
      <c r="B110" t="s">
        <v>8</v>
      </c>
      <c r="C110" t="s">
        <v>9</v>
      </c>
      <c r="D110">
        <v>10.062799999999999</v>
      </c>
      <c r="E110">
        <v>329771</v>
      </c>
      <c r="F110">
        <v>84720</v>
      </c>
      <c r="G110">
        <v>187005</v>
      </c>
    </row>
    <row r="111" spans="1:7" x14ac:dyDescent="0.25">
      <c r="A111" s="12">
        <v>45678</v>
      </c>
      <c r="B111" t="s">
        <v>10</v>
      </c>
      <c r="C111" t="s">
        <v>11</v>
      </c>
      <c r="D111">
        <v>42.016100000000002</v>
      </c>
      <c r="E111">
        <v>443371</v>
      </c>
      <c r="F111">
        <v>132456</v>
      </c>
      <c r="G111">
        <v>108516</v>
      </c>
    </row>
    <row r="112" spans="1:7" x14ac:dyDescent="0.25">
      <c r="A112" s="12">
        <v>45678</v>
      </c>
      <c r="B112" t="s">
        <v>12</v>
      </c>
      <c r="C112" t="s">
        <v>13</v>
      </c>
      <c r="D112">
        <v>37.338799999999999</v>
      </c>
      <c r="E112">
        <v>34433</v>
      </c>
      <c r="F112">
        <v>40</v>
      </c>
      <c r="G112">
        <v>938</v>
      </c>
    </row>
    <row r="113" spans="1:7" x14ac:dyDescent="0.25">
      <c r="A113" s="12">
        <v>45678</v>
      </c>
      <c r="B113" t="s">
        <v>14</v>
      </c>
      <c r="C113" t="s">
        <v>15</v>
      </c>
      <c r="D113">
        <v>92.014499999999998</v>
      </c>
      <c r="E113">
        <v>323971</v>
      </c>
      <c r="F113">
        <v>2020</v>
      </c>
      <c r="G113">
        <v>316626</v>
      </c>
    </row>
    <row r="114" spans="1:7" x14ac:dyDescent="0.25">
      <c r="A114" s="12">
        <v>45678</v>
      </c>
      <c r="B114" t="s">
        <v>16</v>
      </c>
      <c r="C114" t="s">
        <v>17</v>
      </c>
      <c r="D114">
        <v>1.9273</v>
      </c>
      <c r="E114">
        <v>21933</v>
      </c>
    </row>
    <row r="115" spans="1:7" x14ac:dyDescent="0.25">
      <c r="A115" s="12">
        <v>45678</v>
      </c>
      <c r="B115" t="s">
        <v>18</v>
      </c>
      <c r="C115" t="s">
        <v>19</v>
      </c>
      <c r="D115">
        <v>1</v>
      </c>
      <c r="E115">
        <v>76409</v>
      </c>
      <c r="F115">
        <v>71424</v>
      </c>
    </row>
    <row r="116" spans="1:7" x14ac:dyDescent="0.25">
      <c r="A116" s="12">
        <v>45678</v>
      </c>
      <c r="B116" t="s">
        <v>20</v>
      </c>
      <c r="C116" t="s">
        <v>21</v>
      </c>
      <c r="D116">
        <v>1</v>
      </c>
      <c r="E116">
        <v>1008</v>
      </c>
      <c r="G116">
        <v>1008</v>
      </c>
    </row>
    <row r="117" spans="1:7" x14ac:dyDescent="0.25">
      <c r="A117" s="12">
        <v>45678</v>
      </c>
      <c r="B117" t="s">
        <v>22</v>
      </c>
      <c r="C117" t="s">
        <v>23</v>
      </c>
      <c r="D117">
        <v>17.007300000000001</v>
      </c>
      <c r="E117">
        <v>5139</v>
      </c>
      <c r="G117">
        <v>2884</v>
      </c>
    </row>
    <row r="118" spans="1:7" x14ac:dyDescent="0.25">
      <c r="A118" s="12">
        <v>45678</v>
      </c>
      <c r="B118" t="s">
        <v>24</v>
      </c>
      <c r="C118" t="s">
        <v>25</v>
      </c>
      <c r="D118">
        <v>12.9773</v>
      </c>
      <c r="E118">
        <v>13004</v>
      </c>
    </row>
    <row r="119" spans="1:7" x14ac:dyDescent="0.25">
      <c r="A119" s="12">
        <v>45678</v>
      </c>
      <c r="B119" t="s">
        <v>26</v>
      </c>
      <c r="C119" t="s">
        <v>27</v>
      </c>
      <c r="D119">
        <v>1</v>
      </c>
      <c r="E119">
        <v>360</v>
      </c>
    </row>
    <row r="120" spans="1:7" x14ac:dyDescent="0.25">
      <c r="A120" s="12">
        <v>45678</v>
      </c>
      <c r="B120" t="s">
        <v>28</v>
      </c>
      <c r="C120" t="s">
        <v>29</v>
      </c>
      <c r="D120">
        <v>47.543199999999999</v>
      </c>
      <c r="E120">
        <v>427356</v>
      </c>
      <c r="F120">
        <v>115969</v>
      </c>
      <c r="G120">
        <v>17880</v>
      </c>
    </row>
    <row r="121" spans="1:7" x14ac:dyDescent="0.25">
      <c r="A121" s="12">
        <v>45678</v>
      </c>
      <c r="B121" t="s">
        <v>30</v>
      </c>
      <c r="C121" t="s">
        <v>31</v>
      </c>
      <c r="D121">
        <v>80.528099999999995</v>
      </c>
      <c r="E121">
        <v>395100</v>
      </c>
      <c r="F121">
        <v>806</v>
      </c>
      <c r="G121">
        <v>205578</v>
      </c>
    </row>
    <row r="122" spans="1:7" x14ac:dyDescent="0.25">
      <c r="A122" s="12">
        <v>45678</v>
      </c>
      <c r="B122" t="s">
        <v>32</v>
      </c>
      <c r="C122" t="s">
        <v>33</v>
      </c>
      <c r="D122">
        <v>1.8461000000000001</v>
      </c>
      <c r="E122">
        <v>7457</v>
      </c>
    </row>
    <row r="123" spans="1:7" x14ac:dyDescent="0.25">
      <c r="A123" s="12">
        <v>45678</v>
      </c>
      <c r="B123" t="s">
        <v>34</v>
      </c>
      <c r="C123" t="s">
        <v>35</v>
      </c>
      <c r="D123">
        <v>49.689700000000002</v>
      </c>
      <c r="E123">
        <v>141379</v>
      </c>
      <c r="F123">
        <v>41004</v>
      </c>
      <c r="G123">
        <v>55718</v>
      </c>
    </row>
    <row r="124" spans="1:7" x14ac:dyDescent="0.25">
      <c r="A124" s="12">
        <v>45678</v>
      </c>
      <c r="B124" t="s">
        <v>36</v>
      </c>
      <c r="C124" t="s">
        <v>37</v>
      </c>
      <c r="D124">
        <v>29.566099999999999</v>
      </c>
      <c r="E124">
        <v>346479</v>
      </c>
      <c r="F124">
        <v>75720</v>
      </c>
      <c r="G124">
        <v>110942</v>
      </c>
    </row>
    <row r="125" spans="1:7" x14ac:dyDescent="0.25">
      <c r="A125" s="12">
        <v>45678</v>
      </c>
      <c r="B125" t="s">
        <v>39</v>
      </c>
      <c r="C125" t="s">
        <v>40</v>
      </c>
      <c r="D125">
        <v>101.56529999999999</v>
      </c>
      <c r="E125">
        <v>62873</v>
      </c>
      <c r="F125">
        <v>58817</v>
      </c>
    </row>
    <row r="126" spans="1:7" x14ac:dyDescent="0.25">
      <c r="A126" s="12">
        <v>45678</v>
      </c>
      <c r="B126" t="s">
        <v>41</v>
      </c>
      <c r="C126" t="s">
        <v>42</v>
      </c>
      <c r="D126">
        <v>84.104299999999995</v>
      </c>
      <c r="E126">
        <v>822180</v>
      </c>
      <c r="F126">
        <v>818426</v>
      </c>
    </row>
    <row r="127" spans="1:7" x14ac:dyDescent="0.25">
      <c r="A127" s="12">
        <v>45678</v>
      </c>
      <c r="B127" t="s">
        <v>43</v>
      </c>
      <c r="C127" t="s">
        <v>44</v>
      </c>
      <c r="D127">
        <v>103.4541</v>
      </c>
      <c r="E127">
        <v>12312</v>
      </c>
      <c r="F127">
        <v>3768</v>
      </c>
    </row>
    <row r="128" spans="1:7" x14ac:dyDescent="0.25">
      <c r="A128" s="12">
        <v>45678</v>
      </c>
      <c r="B128" t="s">
        <v>45</v>
      </c>
      <c r="C128" t="s">
        <v>46</v>
      </c>
      <c r="D128">
        <v>100.4097</v>
      </c>
      <c r="E128">
        <v>23649</v>
      </c>
      <c r="F128">
        <v>20313</v>
      </c>
    </row>
    <row r="129" spans="1:8" x14ac:dyDescent="0.25">
      <c r="A129" s="12">
        <v>45678</v>
      </c>
      <c r="B129" t="s">
        <v>47</v>
      </c>
      <c r="C129" t="s">
        <v>48</v>
      </c>
      <c r="D129">
        <v>64.122799999999998</v>
      </c>
      <c r="E129">
        <v>53457</v>
      </c>
      <c r="F129">
        <v>2341</v>
      </c>
      <c r="G129">
        <v>51072</v>
      </c>
    </row>
    <row r="130" spans="1:8" x14ac:dyDescent="0.25">
      <c r="A130" s="12">
        <v>45678</v>
      </c>
      <c r="B130" t="s">
        <v>49</v>
      </c>
      <c r="C130" t="s">
        <v>50</v>
      </c>
      <c r="D130">
        <v>46.709099999999999</v>
      </c>
      <c r="E130">
        <v>53047</v>
      </c>
      <c r="F130">
        <v>52670</v>
      </c>
      <c r="G130">
        <v>0</v>
      </c>
    </row>
    <row r="131" spans="1:8" x14ac:dyDescent="0.25">
      <c r="A131" s="12">
        <v>45678</v>
      </c>
      <c r="B131" t="s">
        <v>51</v>
      </c>
      <c r="C131" t="s">
        <v>52</v>
      </c>
      <c r="D131">
        <v>32.889699999999998</v>
      </c>
      <c r="E131">
        <v>36582</v>
      </c>
      <c r="F131">
        <v>1646</v>
      </c>
      <c r="G131">
        <v>34920</v>
      </c>
    </row>
    <row r="132" spans="1:8" x14ac:dyDescent="0.25">
      <c r="A132" s="12">
        <v>45678</v>
      </c>
      <c r="B132" t="s">
        <v>59</v>
      </c>
      <c r="C132" t="s">
        <v>60</v>
      </c>
      <c r="D132">
        <v>53.934199999999997</v>
      </c>
      <c r="E132">
        <v>67128</v>
      </c>
      <c r="F132">
        <v>67128</v>
      </c>
    </row>
    <row r="133" spans="1:8" x14ac:dyDescent="0.25">
      <c r="A133" s="12">
        <v>45678</v>
      </c>
      <c r="B133" t="s">
        <v>53</v>
      </c>
      <c r="C133" t="s">
        <v>54</v>
      </c>
      <c r="D133">
        <v>40.484299999999998</v>
      </c>
      <c r="E133">
        <v>3136</v>
      </c>
      <c r="G133">
        <v>3024</v>
      </c>
    </row>
    <row r="134" spans="1:8" x14ac:dyDescent="0.25">
      <c r="A134" s="12">
        <v>45678</v>
      </c>
      <c r="B134" t="s">
        <v>55</v>
      </c>
      <c r="C134" t="s">
        <v>56</v>
      </c>
      <c r="D134">
        <v>43.512300000000003</v>
      </c>
      <c r="E134">
        <v>327408</v>
      </c>
      <c r="F134">
        <v>195408</v>
      </c>
      <c r="G134">
        <v>132000</v>
      </c>
    </row>
    <row r="135" spans="1:8" x14ac:dyDescent="0.25">
      <c r="A135" s="12">
        <v>45678</v>
      </c>
      <c r="B135" t="s">
        <v>57</v>
      </c>
      <c r="C135" t="s">
        <v>58</v>
      </c>
      <c r="D135">
        <v>30.793099999999999</v>
      </c>
      <c r="E135">
        <v>43200</v>
      </c>
      <c r="F135">
        <v>48</v>
      </c>
    </row>
    <row r="136" spans="1:8" x14ac:dyDescent="0.25">
      <c r="A136" s="12">
        <v>45678</v>
      </c>
      <c r="B136" t="s">
        <v>61</v>
      </c>
      <c r="C136" t="s">
        <v>62</v>
      </c>
      <c r="D136">
        <v>98.039199999999994</v>
      </c>
      <c r="E136">
        <v>0</v>
      </c>
    </row>
    <row r="137" spans="1:8" x14ac:dyDescent="0.25">
      <c r="A137" s="12">
        <v>45679</v>
      </c>
      <c r="B137" t="s">
        <v>59</v>
      </c>
      <c r="C137" t="s">
        <v>60</v>
      </c>
      <c r="D137">
        <v>53.934199999999997</v>
      </c>
      <c r="E137">
        <v>67113</v>
      </c>
      <c r="F137" s="13"/>
      <c r="G137" s="13"/>
      <c r="H137" s="13"/>
    </row>
    <row r="138" spans="1:8" x14ac:dyDescent="0.25">
      <c r="A138" s="12">
        <v>45679</v>
      </c>
      <c r="B138" t="s">
        <v>14</v>
      </c>
      <c r="C138" t="s">
        <v>15</v>
      </c>
      <c r="D138">
        <v>92.014499999999998</v>
      </c>
      <c r="E138">
        <v>320419</v>
      </c>
      <c r="F138" s="14"/>
      <c r="G138" s="14"/>
      <c r="H138" s="14"/>
    </row>
    <row r="139" spans="1:8" x14ac:dyDescent="0.25">
      <c r="A139" s="12">
        <v>45679</v>
      </c>
      <c r="B139" t="s">
        <v>8</v>
      </c>
      <c r="C139" t="s">
        <v>9</v>
      </c>
      <c r="D139">
        <v>10.062799999999999</v>
      </c>
      <c r="E139">
        <v>300491</v>
      </c>
      <c r="F139">
        <v>75120</v>
      </c>
      <c r="G139">
        <v>195885</v>
      </c>
      <c r="H139" s="13"/>
    </row>
    <row r="140" spans="1:8" x14ac:dyDescent="0.25">
      <c r="A140" s="12">
        <v>45679</v>
      </c>
      <c r="B140" t="s">
        <v>10</v>
      </c>
      <c r="C140" t="s">
        <v>11</v>
      </c>
      <c r="D140">
        <v>42.016100000000002</v>
      </c>
      <c r="E140">
        <v>422110</v>
      </c>
      <c r="F140">
        <v>94056</v>
      </c>
      <c r="G140">
        <v>132516</v>
      </c>
      <c r="H140" s="14"/>
    </row>
    <row r="141" spans="1:8" x14ac:dyDescent="0.25">
      <c r="A141" s="12">
        <v>45679</v>
      </c>
      <c r="B141" t="s">
        <v>12</v>
      </c>
      <c r="C141" t="s">
        <v>13</v>
      </c>
      <c r="D141">
        <v>37.338799999999999</v>
      </c>
      <c r="E141">
        <v>34505</v>
      </c>
      <c r="F141">
        <v>40</v>
      </c>
      <c r="G141">
        <v>938</v>
      </c>
      <c r="H141" s="13"/>
    </row>
    <row r="142" spans="1:8" x14ac:dyDescent="0.25">
      <c r="A142" s="12">
        <v>45679</v>
      </c>
      <c r="B142" t="s">
        <v>14</v>
      </c>
      <c r="C142" t="s">
        <v>15</v>
      </c>
      <c r="D142">
        <v>92.014499999999998</v>
      </c>
      <c r="E142">
        <v>319219</v>
      </c>
      <c r="F142">
        <v>2020</v>
      </c>
      <c r="G142">
        <v>311826</v>
      </c>
      <c r="H142" s="14"/>
    </row>
    <row r="143" spans="1:8" x14ac:dyDescent="0.25">
      <c r="A143" s="12">
        <v>45679</v>
      </c>
      <c r="B143" t="s">
        <v>16</v>
      </c>
      <c r="C143" t="s">
        <v>17</v>
      </c>
      <c r="D143">
        <v>1.9273</v>
      </c>
      <c r="E143">
        <v>21933</v>
      </c>
      <c r="H143" s="13"/>
    </row>
    <row r="144" spans="1:8" x14ac:dyDescent="0.25">
      <c r="A144" s="12">
        <v>45679</v>
      </c>
      <c r="B144" t="s">
        <v>18</v>
      </c>
      <c r="C144" t="s">
        <v>19</v>
      </c>
      <c r="D144">
        <v>1</v>
      </c>
      <c r="E144">
        <v>47609</v>
      </c>
      <c r="F144">
        <v>25824</v>
      </c>
      <c r="G144">
        <v>16800</v>
      </c>
      <c r="H144" s="14"/>
    </row>
    <row r="145" spans="1:8" x14ac:dyDescent="0.25">
      <c r="A145" s="12">
        <v>45679</v>
      </c>
      <c r="B145" t="s">
        <v>20</v>
      </c>
      <c r="C145" t="s">
        <v>21</v>
      </c>
      <c r="D145">
        <v>1</v>
      </c>
      <c r="E145">
        <v>1008</v>
      </c>
      <c r="G145">
        <v>1008</v>
      </c>
      <c r="H145" s="13"/>
    </row>
    <row r="146" spans="1:8" x14ac:dyDescent="0.25">
      <c r="A146" s="12">
        <v>45679</v>
      </c>
      <c r="B146" t="s">
        <v>22</v>
      </c>
      <c r="C146" t="s">
        <v>23</v>
      </c>
      <c r="D146">
        <v>17.007300000000001</v>
      </c>
      <c r="E146">
        <v>5139</v>
      </c>
      <c r="G146">
        <v>2884</v>
      </c>
      <c r="H146" s="14"/>
    </row>
    <row r="147" spans="1:8" x14ac:dyDescent="0.25">
      <c r="A147" s="12">
        <v>45679</v>
      </c>
      <c r="B147" t="s">
        <v>24</v>
      </c>
      <c r="C147" t="s">
        <v>25</v>
      </c>
      <c r="D147">
        <v>12.9773</v>
      </c>
      <c r="E147">
        <v>13004</v>
      </c>
      <c r="H147" s="13"/>
    </row>
    <row r="148" spans="1:8" x14ac:dyDescent="0.25">
      <c r="A148" s="12">
        <v>45679</v>
      </c>
      <c r="B148" t="s">
        <v>26</v>
      </c>
      <c r="C148" t="s">
        <v>27</v>
      </c>
      <c r="D148">
        <v>1</v>
      </c>
      <c r="E148">
        <v>360</v>
      </c>
      <c r="H148" s="14"/>
    </row>
    <row r="149" spans="1:8" x14ac:dyDescent="0.25">
      <c r="A149" s="12">
        <v>45679</v>
      </c>
      <c r="B149" t="s">
        <v>28</v>
      </c>
      <c r="C149" t="s">
        <v>29</v>
      </c>
      <c r="D149">
        <v>48.030299999999997</v>
      </c>
      <c r="E149">
        <v>567950</v>
      </c>
      <c r="F149">
        <v>456697</v>
      </c>
      <c r="G149">
        <v>68280</v>
      </c>
      <c r="H149" s="13"/>
    </row>
    <row r="150" spans="1:8" x14ac:dyDescent="0.25">
      <c r="A150" s="12">
        <v>45679</v>
      </c>
      <c r="B150" t="s">
        <v>30</v>
      </c>
      <c r="C150" t="s">
        <v>31</v>
      </c>
      <c r="D150">
        <v>80.528099999999995</v>
      </c>
      <c r="E150">
        <v>287364</v>
      </c>
      <c r="F150">
        <v>806</v>
      </c>
      <c r="G150">
        <v>99978</v>
      </c>
      <c r="H150" s="14"/>
    </row>
    <row r="151" spans="1:8" x14ac:dyDescent="0.25">
      <c r="A151" s="12">
        <v>45679</v>
      </c>
      <c r="B151" t="s">
        <v>32</v>
      </c>
      <c r="C151" t="s">
        <v>33</v>
      </c>
      <c r="D151">
        <v>1.8461000000000001</v>
      </c>
      <c r="E151">
        <v>7457</v>
      </c>
      <c r="H151" s="13"/>
    </row>
    <row r="152" spans="1:8" x14ac:dyDescent="0.25">
      <c r="A152" s="12">
        <v>45679</v>
      </c>
      <c r="B152" t="s">
        <v>34</v>
      </c>
      <c r="C152" t="s">
        <v>35</v>
      </c>
      <c r="D152">
        <v>49.689700000000002</v>
      </c>
      <c r="E152">
        <v>130591</v>
      </c>
      <c r="F152">
        <v>41004</v>
      </c>
      <c r="G152">
        <v>44918</v>
      </c>
      <c r="H152" s="14"/>
    </row>
    <row r="153" spans="1:8" x14ac:dyDescent="0.25">
      <c r="A153" s="12">
        <v>45679</v>
      </c>
      <c r="B153" t="s">
        <v>36</v>
      </c>
      <c r="C153" t="s">
        <v>37</v>
      </c>
      <c r="D153">
        <v>29.566099999999999</v>
      </c>
      <c r="E153">
        <v>288879</v>
      </c>
      <c r="F153">
        <v>70920</v>
      </c>
      <c r="G153">
        <v>182942</v>
      </c>
      <c r="H153" s="13"/>
    </row>
    <row r="154" spans="1:8" x14ac:dyDescent="0.25">
      <c r="A154" s="12">
        <v>45679</v>
      </c>
      <c r="B154" t="s">
        <v>39</v>
      </c>
      <c r="C154" t="s">
        <v>40</v>
      </c>
      <c r="D154">
        <v>101.56529999999999</v>
      </c>
      <c r="E154">
        <v>62873</v>
      </c>
      <c r="F154">
        <v>58817</v>
      </c>
      <c r="H154" s="14"/>
    </row>
    <row r="155" spans="1:8" x14ac:dyDescent="0.25">
      <c r="A155" s="12">
        <v>45679</v>
      </c>
      <c r="B155" t="s">
        <v>41</v>
      </c>
      <c r="C155" t="s">
        <v>42</v>
      </c>
      <c r="D155">
        <v>84.104299999999995</v>
      </c>
      <c r="E155">
        <v>800542</v>
      </c>
      <c r="F155">
        <v>797001</v>
      </c>
      <c r="H155" s="13"/>
    </row>
    <row r="156" spans="1:8" x14ac:dyDescent="0.25">
      <c r="A156" s="12">
        <v>45679</v>
      </c>
      <c r="B156" t="s">
        <v>43</v>
      </c>
      <c r="C156" t="s">
        <v>44</v>
      </c>
      <c r="D156">
        <v>103.4541</v>
      </c>
      <c r="E156">
        <v>12312</v>
      </c>
      <c r="F156">
        <v>3768</v>
      </c>
      <c r="H156" s="14"/>
    </row>
    <row r="157" spans="1:8" x14ac:dyDescent="0.25">
      <c r="A157" s="12">
        <v>45679</v>
      </c>
      <c r="B157" t="s">
        <v>45</v>
      </c>
      <c r="C157" t="s">
        <v>46</v>
      </c>
      <c r="D157">
        <v>100.4097</v>
      </c>
      <c r="E157">
        <v>23649</v>
      </c>
      <c r="F157">
        <v>20313</v>
      </c>
      <c r="H157" s="13"/>
    </row>
    <row r="158" spans="1:8" x14ac:dyDescent="0.25">
      <c r="A158" s="12">
        <v>45679</v>
      </c>
      <c r="B158" t="s">
        <v>47</v>
      </c>
      <c r="C158" t="s">
        <v>48</v>
      </c>
      <c r="D158">
        <v>64.122799999999998</v>
      </c>
      <c r="E158">
        <v>46242</v>
      </c>
      <c r="F158">
        <v>2326</v>
      </c>
      <c r="G158">
        <v>43872</v>
      </c>
      <c r="H158" s="14"/>
    </row>
    <row r="159" spans="1:8" x14ac:dyDescent="0.25">
      <c r="A159" s="12">
        <v>45679</v>
      </c>
      <c r="B159" t="s">
        <v>49</v>
      </c>
      <c r="C159" t="s">
        <v>50</v>
      </c>
      <c r="D159">
        <v>46.709099999999999</v>
      </c>
      <c r="E159">
        <v>31456</v>
      </c>
      <c r="F159">
        <v>19055</v>
      </c>
      <c r="G159">
        <v>12000</v>
      </c>
      <c r="H159" s="13"/>
    </row>
    <row r="160" spans="1:8" x14ac:dyDescent="0.25">
      <c r="A160" s="12">
        <v>45679</v>
      </c>
      <c r="B160" t="s">
        <v>51</v>
      </c>
      <c r="C160" t="s">
        <v>52</v>
      </c>
      <c r="D160">
        <v>32.889699999999998</v>
      </c>
      <c r="E160">
        <v>36567</v>
      </c>
      <c r="F160">
        <v>1631</v>
      </c>
      <c r="G160">
        <v>34920</v>
      </c>
      <c r="H160" s="14"/>
    </row>
    <row r="161" spans="1:8" x14ac:dyDescent="0.25">
      <c r="A161" s="12">
        <v>45679</v>
      </c>
      <c r="B161" t="s">
        <v>59</v>
      </c>
      <c r="C161" t="s">
        <v>60</v>
      </c>
      <c r="D161">
        <v>53.934199999999997</v>
      </c>
      <c r="E161">
        <v>67113</v>
      </c>
      <c r="F161">
        <v>67113</v>
      </c>
      <c r="H161" s="13"/>
    </row>
    <row r="162" spans="1:8" x14ac:dyDescent="0.25">
      <c r="A162" s="12">
        <v>45679</v>
      </c>
      <c r="B162" t="s">
        <v>53</v>
      </c>
      <c r="C162" t="s">
        <v>54</v>
      </c>
      <c r="D162">
        <v>40.484299999999998</v>
      </c>
      <c r="E162">
        <v>736</v>
      </c>
      <c r="G162">
        <v>624</v>
      </c>
      <c r="H162" s="14"/>
    </row>
    <row r="163" spans="1:8" x14ac:dyDescent="0.25">
      <c r="A163" s="12">
        <v>45679</v>
      </c>
      <c r="B163" t="s">
        <v>55</v>
      </c>
      <c r="C163" t="s">
        <v>56</v>
      </c>
      <c r="D163">
        <v>43.512300000000003</v>
      </c>
      <c r="E163">
        <v>200196</v>
      </c>
      <c r="F163">
        <v>171396</v>
      </c>
      <c r="G163">
        <v>28800</v>
      </c>
      <c r="H163" s="13"/>
    </row>
    <row r="164" spans="1:8" x14ac:dyDescent="0.25">
      <c r="A164" s="12">
        <v>45679</v>
      </c>
      <c r="B164" t="s">
        <v>57</v>
      </c>
      <c r="C164" t="s">
        <v>58</v>
      </c>
      <c r="D164">
        <v>30.793099999999999</v>
      </c>
      <c r="E164">
        <v>43200</v>
      </c>
      <c r="F164">
        <v>48</v>
      </c>
    </row>
    <row r="165" spans="1:8" x14ac:dyDescent="0.25">
      <c r="A165" s="12">
        <v>45679</v>
      </c>
      <c r="B165" t="s">
        <v>61</v>
      </c>
      <c r="C165" t="s">
        <v>62</v>
      </c>
      <c r="D165">
        <v>98.039199999999994</v>
      </c>
      <c r="E16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6682-ED20-45A5-B887-E6D39056EA83}">
  <dimension ref="A1:K30"/>
  <sheetViews>
    <sheetView topLeftCell="H1" workbookViewId="0">
      <selection activeCell="K12" sqref="K12"/>
    </sheetView>
  </sheetViews>
  <sheetFormatPr baseColWidth="10" defaultColWidth="9.140625" defaultRowHeight="15" x14ac:dyDescent="0.25"/>
  <cols>
    <col min="1" max="1" width="20.5703125" customWidth="1"/>
    <col min="2" max="2" width="19.5703125" customWidth="1"/>
    <col min="3" max="3" width="9.5703125" customWidth="1"/>
    <col min="4" max="4" width="50.7109375" customWidth="1"/>
    <col min="5" max="5" width="8" customWidth="1"/>
    <col min="6" max="6" width="19.28515625" customWidth="1"/>
    <col min="7" max="7" width="19" bestFit="1" customWidth="1"/>
    <col min="8" max="8" width="14.85546875" customWidth="1"/>
    <col min="9" max="9" width="27" customWidth="1"/>
    <col min="10" max="10" width="15" customWidth="1"/>
    <col min="11" max="11" width="21.5703125" customWidth="1"/>
    <col min="12" max="12" width="19.85546875" customWidth="1"/>
    <col min="13" max="13" width="10.42578125" customWidth="1"/>
    <col min="14" max="14" width="16" customWidth="1"/>
    <col min="15" max="15" width="10.42578125" customWidth="1"/>
    <col min="16" max="16" width="16" customWidth="1"/>
    <col min="17" max="17" width="10.42578125" customWidth="1"/>
    <col min="18" max="18" width="16" customWidth="1"/>
    <col min="19" max="19" width="14.5703125" customWidth="1"/>
    <col min="20" max="20" width="20.28515625" customWidth="1"/>
    <col min="21" max="21" width="12.140625" customWidth="1"/>
    <col min="22" max="22" width="17.7109375" customWidth="1"/>
    <col min="23" max="23" width="9.5703125" customWidth="1"/>
    <col min="24" max="24" width="15" customWidth="1"/>
    <col min="25" max="25" width="14.85546875" customWidth="1"/>
    <col min="26" max="26" width="20.5703125" customWidth="1"/>
    <col min="27" max="27" width="21.28515625" customWidth="1"/>
    <col min="28" max="28" width="18.5703125" customWidth="1"/>
    <col min="29" max="29" width="14" customWidth="1"/>
    <col min="30" max="30" width="17.7109375" customWidth="1"/>
    <col min="31" max="31" width="17" customWidth="1"/>
    <col min="32" max="32" width="16.7109375" customWidth="1"/>
    <col min="33" max="33" width="17.28515625" customWidth="1"/>
    <col min="34" max="34" width="18.140625" customWidth="1"/>
    <col min="35" max="35" width="20.85546875" customWidth="1"/>
    <col min="36" max="36" width="18.5703125" customWidth="1"/>
    <col min="37" max="37" width="16.42578125" customWidth="1"/>
    <col min="38" max="38" width="24.42578125" customWidth="1"/>
    <col min="39" max="39" width="13.85546875" customWidth="1"/>
    <col min="40" max="40" width="11.5703125" customWidth="1"/>
    <col min="41" max="41" width="19.5703125" customWidth="1"/>
  </cols>
  <sheetData>
    <row r="1" spans="1:11" x14ac:dyDescent="0.25">
      <c r="A1" t="s">
        <v>318</v>
      </c>
      <c r="B1" t="s">
        <v>319</v>
      </c>
      <c r="C1" t="s">
        <v>2</v>
      </c>
      <c r="D1" t="s">
        <v>3</v>
      </c>
      <c r="E1" t="s">
        <v>4</v>
      </c>
      <c r="F1" t="s">
        <v>63</v>
      </c>
      <c r="G1" t="s">
        <v>5</v>
      </c>
      <c r="H1" t="s">
        <v>6</v>
      </c>
      <c r="I1" t="s">
        <v>204</v>
      </c>
      <c r="J1" t="s">
        <v>197</v>
      </c>
      <c r="K1" t="s">
        <v>198</v>
      </c>
    </row>
    <row r="2" spans="1:11" x14ac:dyDescent="0.25">
      <c r="A2" t="s">
        <v>320</v>
      </c>
      <c r="B2">
        <v>29.3398</v>
      </c>
      <c r="C2" t="s">
        <v>104</v>
      </c>
      <c r="D2" t="s">
        <v>105</v>
      </c>
      <c r="E2">
        <v>40.058399999999999</v>
      </c>
      <c r="F2">
        <v>59218</v>
      </c>
      <c r="G2">
        <v>32878</v>
      </c>
      <c r="H2">
        <v>26340</v>
      </c>
      <c r="I2" t="s">
        <v>181</v>
      </c>
      <c r="J2">
        <f>ROUNDUP(CAISSE[[#This Row],[MC CONSERVERIE]]/100,0)</f>
        <v>329</v>
      </c>
      <c r="K2">
        <f>ROUNDUP(CAISSE[[#This Row],[BENI TAMOU]]/100,0)</f>
        <v>264</v>
      </c>
    </row>
    <row r="3" spans="1:11" x14ac:dyDescent="0.25">
      <c r="A3" t="s">
        <v>320</v>
      </c>
      <c r="B3">
        <v>29.3398</v>
      </c>
      <c r="C3" t="s">
        <v>106</v>
      </c>
      <c r="D3" t="s">
        <v>107</v>
      </c>
      <c r="E3">
        <v>30.13</v>
      </c>
      <c r="F3">
        <v>2400</v>
      </c>
      <c r="G3">
        <v>2400</v>
      </c>
      <c r="I3" t="s">
        <v>181</v>
      </c>
      <c r="J3">
        <f>ROUNDUP(CAISSE[[#This Row],[MC CONSERVERIE]]/100,0)</f>
        <v>24</v>
      </c>
      <c r="K3">
        <f>ROUNDUP(CAISSE[[#This Row],[BENI TAMOU]]/100,0)</f>
        <v>0</v>
      </c>
    </row>
    <row r="4" spans="1:11" x14ac:dyDescent="0.25">
      <c r="A4" t="s">
        <v>320</v>
      </c>
      <c r="B4">
        <v>29.3398</v>
      </c>
      <c r="C4" t="s">
        <v>108</v>
      </c>
      <c r="D4" t="s">
        <v>109</v>
      </c>
      <c r="E4">
        <v>40.1633</v>
      </c>
      <c r="F4">
        <v>11290</v>
      </c>
      <c r="G4">
        <v>11000</v>
      </c>
      <c r="H4">
        <v>290</v>
      </c>
      <c r="I4" t="s">
        <v>181</v>
      </c>
      <c r="J4">
        <f>ROUNDUP(CAISSE[[#This Row],[MC CONSERVERIE]]/100,0)</f>
        <v>110</v>
      </c>
      <c r="K4">
        <f>ROUNDUP(CAISSE[[#This Row],[BENI TAMOU]]/100,0)</f>
        <v>3</v>
      </c>
    </row>
    <row r="5" spans="1:11" x14ac:dyDescent="0.25">
      <c r="A5" t="s">
        <v>320</v>
      </c>
      <c r="B5">
        <v>29.3398</v>
      </c>
      <c r="C5" t="s">
        <v>110</v>
      </c>
      <c r="D5" t="s">
        <v>111</v>
      </c>
      <c r="E5">
        <v>29.964500000000001</v>
      </c>
      <c r="F5">
        <v>14800</v>
      </c>
      <c r="G5">
        <v>14800</v>
      </c>
      <c r="I5" t="s">
        <v>181</v>
      </c>
      <c r="J5">
        <f>ROUNDUP(CAISSE[[#This Row],[MC CONSERVERIE]]/100,0)</f>
        <v>148</v>
      </c>
      <c r="K5">
        <f>ROUNDUP(CAISSE[[#This Row],[BENI TAMOU]]/100,0)</f>
        <v>0</v>
      </c>
    </row>
    <row r="6" spans="1:11" x14ac:dyDescent="0.25">
      <c r="A6" t="s">
        <v>320</v>
      </c>
      <c r="B6">
        <v>29.3398</v>
      </c>
      <c r="C6" t="s">
        <v>112</v>
      </c>
      <c r="D6" t="s">
        <v>113</v>
      </c>
      <c r="E6">
        <v>40.121600000000001</v>
      </c>
      <c r="F6">
        <v>28362</v>
      </c>
      <c r="G6">
        <v>27812</v>
      </c>
      <c r="H6">
        <v>550</v>
      </c>
      <c r="I6" t="s">
        <v>181</v>
      </c>
      <c r="J6">
        <f>ROUNDUP(CAISSE[[#This Row],[MC CONSERVERIE]]/100,0)</f>
        <v>279</v>
      </c>
      <c r="K6">
        <f>ROUNDUP(CAISSE[[#This Row],[BENI TAMOU]]/100,0)</f>
        <v>6</v>
      </c>
    </row>
    <row r="7" spans="1:11" x14ac:dyDescent="0.25">
      <c r="A7" t="s">
        <v>320</v>
      </c>
      <c r="B7">
        <v>29.3398</v>
      </c>
      <c r="C7" t="s">
        <v>114</v>
      </c>
      <c r="D7" t="s">
        <v>115</v>
      </c>
      <c r="E7">
        <v>1</v>
      </c>
      <c r="F7">
        <v>3500</v>
      </c>
      <c r="G7">
        <v>3500</v>
      </c>
      <c r="I7" t="s">
        <v>181</v>
      </c>
      <c r="J7">
        <f>ROUNDUP(CAISSE[[#This Row],[MC CONSERVERIE]]/100,0)</f>
        <v>35</v>
      </c>
      <c r="K7">
        <f>ROUNDUP(CAISSE[[#This Row],[BENI TAMOU]]/100,0)</f>
        <v>0</v>
      </c>
    </row>
    <row r="8" spans="1:11" x14ac:dyDescent="0.25">
      <c r="A8" t="s">
        <v>320</v>
      </c>
      <c r="B8">
        <v>29.3398</v>
      </c>
      <c r="C8" t="s">
        <v>116</v>
      </c>
      <c r="D8" t="s">
        <v>117</v>
      </c>
      <c r="E8">
        <v>23.729099999999999</v>
      </c>
      <c r="F8">
        <v>2188</v>
      </c>
      <c r="G8">
        <v>2008</v>
      </c>
      <c r="H8">
        <v>180</v>
      </c>
      <c r="I8" t="s">
        <v>181</v>
      </c>
      <c r="J8">
        <f>ROUNDUP(CAISSE[[#This Row],[MC CONSERVERIE]]/100,0)</f>
        <v>21</v>
      </c>
      <c r="K8">
        <f>ROUNDUP(CAISSE[[#This Row],[BENI TAMOU]]/100,0)</f>
        <v>2</v>
      </c>
    </row>
    <row r="9" spans="1:11" x14ac:dyDescent="0.25">
      <c r="A9" t="s">
        <v>320</v>
      </c>
      <c r="B9">
        <v>29.3398</v>
      </c>
      <c r="C9" t="s">
        <v>118</v>
      </c>
      <c r="D9" t="s">
        <v>119</v>
      </c>
      <c r="E9">
        <v>29.952100000000002</v>
      </c>
      <c r="F9">
        <v>2100</v>
      </c>
      <c r="G9">
        <v>2100</v>
      </c>
      <c r="I9" t="s">
        <v>181</v>
      </c>
      <c r="J9">
        <f>ROUNDUP(CAISSE[[#This Row],[MC CONSERVERIE]]/100,0)</f>
        <v>21</v>
      </c>
      <c r="K9">
        <f>ROUNDUP(CAISSE[[#This Row],[BENI TAMOU]]/100,0)</f>
        <v>0</v>
      </c>
    </row>
    <row r="10" spans="1:11" x14ac:dyDescent="0.25">
      <c r="A10" t="s">
        <v>320</v>
      </c>
      <c r="B10">
        <v>29.3398</v>
      </c>
      <c r="C10" t="s">
        <v>120</v>
      </c>
      <c r="D10" t="s">
        <v>121</v>
      </c>
      <c r="E10">
        <v>1</v>
      </c>
      <c r="F10">
        <v>18600</v>
      </c>
      <c r="G10">
        <v>18600</v>
      </c>
      <c r="I10" t="s">
        <v>181</v>
      </c>
      <c r="J10">
        <f>ROUNDUP(CAISSE[[#This Row],[MC CONSERVERIE]]/100,0)</f>
        <v>186</v>
      </c>
      <c r="K10">
        <f>ROUNDUP(CAISSE[[#This Row],[BENI TAMOU]]/100,0)</f>
        <v>0</v>
      </c>
    </row>
    <row r="11" spans="1:11" x14ac:dyDescent="0.25">
      <c r="A11" t="s">
        <v>320</v>
      </c>
      <c r="B11">
        <v>29.3398</v>
      </c>
      <c r="C11" t="s">
        <v>122</v>
      </c>
      <c r="D11" t="s">
        <v>123</v>
      </c>
      <c r="E11">
        <v>1</v>
      </c>
      <c r="F11">
        <v>5300</v>
      </c>
      <c r="G11">
        <v>5300</v>
      </c>
      <c r="I11" t="s">
        <v>181</v>
      </c>
      <c r="J11">
        <f>ROUNDUP(CAISSE[[#This Row],[MC CONSERVERIE]]/100,0)</f>
        <v>53</v>
      </c>
      <c r="K11">
        <f>ROUNDUP(CAISSE[[#This Row],[BENI TAMOU]]/100,0)</f>
        <v>0</v>
      </c>
    </row>
    <row r="12" spans="1:11" x14ac:dyDescent="0.25">
      <c r="A12" t="s">
        <v>320</v>
      </c>
      <c r="B12">
        <v>29.3398</v>
      </c>
      <c r="C12" t="s">
        <v>124</v>
      </c>
      <c r="D12" t="s">
        <v>125</v>
      </c>
      <c r="E12">
        <v>27.261800000000001</v>
      </c>
      <c r="F12">
        <v>39667</v>
      </c>
      <c r="G12">
        <v>38467</v>
      </c>
      <c r="H12">
        <v>1200</v>
      </c>
      <c r="I12" t="s">
        <v>181</v>
      </c>
      <c r="J12">
        <f>ROUNDUP(CAISSE[[#This Row],[MC CONSERVERIE]]/100,0)</f>
        <v>385</v>
      </c>
      <c r="K12">
        <f>ROUNDUP(CAISSE[[#This Row],[BENI TAMOU]]/100,0)</f>
        <v>12</v>
      </c>
    </row>
    <row r="13" spans="1:11" x14ac:dyDescent="0.25">
      <c r="A13" t="s">
        <v>320</v>
      </c>
      <c r="B13">
        <v>29.3398</v>
      </c>
      <c r="C13" t="s">
        <v>126</v>
      </c>
      <c r="D13" t="s">
        <v>127</v>
      </c>
      <c r="E13">
        <v>1</v>
      </c>
      <c r="F13">
        <v>20550</v>
      </c>
      <c r="G13">
        <v>20550</v>
      </c>
      <c r="I13" t="s">
        <v>181</v>
      </c>
      <c r="J13">
        <f>ROUNDUP(CAISSE[[#This Row],[MC CONSERVERIE]]/100,0)</f>
        <v>206</v>
      </c>
      <c r="K13">
        <f>ROUNDUP(CAISSE[[#This Row],[BENI TAMOU]]/100,0)</f>
        <v>0</v>
      </c>
    </row>
    <row r="14" spans="1:11" x14ac:dyDescent="0.25">
      <c r="A14" t="s">
        <v>320</v>
      </c>
      <c r="B14">
        <v>29.3398</v>
      </c>
      <c r="C14" t="s">
        <v>130</v>
      </c>
      <c r="D14" t="s">
        <v>131</v>
      </c>
      <c r="E14">
        <v>1</v>
      </c>
      <c r="F14">
        <v>2700</v>
      </c>
      <c r="G14">
        <v>2700</v>
      </c>
      <c r="I14" t="s">
        <v>181</v>
      </c>
      <c r="J14">
        <f>ROUNDUP(CAISSE[[#This Row],[MC CONSERVERIE]]/100,0)</f>
        <v>27</v>
      </c>
      <c r="K14">
        <f>ROUNDUP(CAISSE[[#This Row],[BENI TAMOU]]/100,0)</f>
        <v>0</v>
      </c>
    </row>
    <row r="15" spans="1:11" x14ac:dyDescent="0.25">
      <c r="A15" t="s">
        <v>320</v>
      </c>
      <c r="B15">
        <v>29.3398</v>
      </c>
      <c r="C15" t="s">
        <v>132</v>
      </c>
      <c r="D15" t="s">
        <v>133</v>
      </c>
      <c r="E15">
        <v>40.4617</v>
      </c>
      <c r="F15">
        <v>18273</v>
      </c>
      <c r="G15">
        <v>17723</v>
      </c>
      <c r="H15">
        <v>550</v>
      </c>
      <c r="I15" t="s">
        <v>181</v>
      </c>
      <c r="J15">
        <f>ROUNDUP(CAISSE[[#This Row],[MC CONSERVERIE]]/100,0)</f>
        <v>178</v>
      </c>
      <c r="K15">
        <f>ROUNDUP(CAISSE[[#This Row],[BENI TAMOU]]/100,0)</f>
        <v>6</v>
      </c>
    </row>
    <row r="16" spans="1:11" x14ac:dyDescent="0.25">
      <c r="A16" t="s">
        <v>320</v>
      </c>
      <c r="B16">
        <v>29.3398</v>
      </c>
      <c r="C16" t="s">
        <v>134</v>
      </c>
      <c r="D16" t="s">
        <v>135</v>
      </c>
      <c r="E16">
        <v>31.363099999999999</v>
      </c>
      <c r="F16">
        <v>22600</v>
      </c>
      <c r="G16">
        <v>22600</v>
      </c>
      <c r="I16" t="s">
        <v>181</v>
      </c>
      <c r="J16">
        <f>ROUNDUP(CAISSE[[#This Row],[MC CONSERVERIE]]/100,0)</f>
        <v>226</v>
      </c>
      <c r="K16">
        <f>ROUNDUP(CAISSE[[#This Row],[BENI TAMOU]]/100,0)</f>
        <v>0</v>
      </c>
    </row>
    <row r="17" spans="1:11" x14ac:dyDescent="0.25">
      <c r="A17" t="s">
        <v>320</v>
      </c>
      <c r="B17">
        <v>29.3398</v>
      </c>
      <c r="C17" t="s">
        <v>136</v>
      </c>
      <c r="D17" t="s">
        <v>137</v>
      </c>
      <c r="E17">
        <v>29.995100000000001</v>
      </c>
      <c r="F17">
        <v>13171</v>
      </c>
      <c r="G17">
        <v>13046</v>
      </c>
      <c r="H17">
        <v>125</v>
      </c>
      <c r="I17" t="s">
        <v>181</v>
      </c>
      <c r="J17">
        <f>ROUNDUP(CAISSE[[#This Row],[MC CONSERVERIE]]/100,0)</f>
        <v>131</v>
      </c>
      <c r="K17">
        <f>ROUNDUP(CAISSE[[#This Row],[BENI TAMOU]]/100,0)</f>
        <v>2</v>
      </c>
    </row>
    <row r="18" spans="1:11" x14ac:dyDescent="0.25">
      <c r="A18" t="s">
        <v>320</v>
      </c>
      <c r="B18">
        <v>29.3398</v>
      </c>
      <c r="C18" t="s">
        <v>138</v>
      </c>
      <c r="D18" t="s">
        <v>139</v>
      </c>
      <c r="E18">
        <v>28.1112</v>
      </c>
      <c r="F18">
        <v>1200</v>
      </c>
      <c r="G18">
        <v>1200</v>
      </c>
      <c r="I18" t="s">
        <v>181</v>
      </c>
      <c r="J18">
        <f>ROUNDUP(CAISSE[[#This Row],[MC CONSERVERIE]]/100,0)</f>
        <v>12</v>
      </c>
      <c r="K18">
        <f>ROUNDUP(CAISSE[[#This Row],[BENI TAMOU]]/100,0)</f>
        <v>0</v>
      </c>
    </row>
    <row r="19" spans="1:11" x14ac:dyDescent="0.25">
      <c r="A19" t="s">
        <v>320</v>
      </c>
      <c r="B19">
        <v>29.3398</v>
      </c>
      <c r="C19" t="s">
        <v>140</v>
      </c>
      <c r="D19" t="s">
        <v>141</v>
      </c>
      <c r="E19">
        <v>12.907</v>
      </c>
      <c r="F19">
        <v>3400</v>
      </c>
      <c r="G19">
        <v>3400</v>
      </c>
      <c r="I19" t="s">
        <v>181</v>
      </c>
      <c r="J19">
        <f>ROUNDUP(CAISSE[[#This Row],[MC CONSERVERIE]]/100,0)</f>
        <v>34</v>
      </c>
      <c r="K19">
        <f>ROUNDUP(CAISSE[[#This Row],[BENI TAMOU]]/100,0)</f>
        <v>0</v>
      </c>
    </row>
    <row r="20" spans="1:11" x14ac:dyDescent="0.25">
      <c r="A20" t="s">
        <v>320</v>
      </c>
      <c r="B20">
        <v>29.3398</v>
      </c>
      <c r="C20" t="s">
        <v>144</v>
      </c>
      <c r="D20" t="s">
        <v>145</v>
      </c>
      <c r="E20">
        <v>30.604700000000001</v>
      </c>
      <c r="F20">
        <v>4018</v>
      </c>
      <c r="G20">
        <v>4018</v>
      </c>
      <c r="I20" t="s">
        <v>181</v>
      </c>
      <c r="J20">
        <f>ROUNDUP(CAISSE[[#This Row],[MC CONSERVERIE]]/100,0)</f>
        <v>41</v>
      </c>
      <c r="K20">
        <f>ROUNDUP(CAISSE[[#This Row],[BENI TAMOU]]/100,0)</f>
        <v>0</v>
      </c>
    </row>
    <row r="21" spans="1:11" x14ac:dyDescent="0.25">
      <c r="A21" t="s">
        <v>320</v>
      </c>
      <c r="B21">
        <v>29.3398</v>
      </c>
      <c r="C21" t="s">
        <v>148</v>
      </c>
      <c r="D21" t="s">
        <v>149</v>
      </c>
      <c r="E21">
        <v>13.094200000000001</v>
      </c>
      <c r="F21">
        <v>3013</v>
      </c>
      <c r="G21">
        <v>3003</v>
      </c>
      <c r="I21" t="s">
        <v>181</v>
      </c>
      <c r="J21">
        <f>ROUNDUP(CAISSE[[#This Row],[MC CONSERVERIE]]/100,0)</f>
        <v>31</v>
      </c>
      <c r="K21">
        <f>ROUNDUP(CAISSE[[#This Row],[BENI TAMOU]]/100,0)</f>
        <v>0</v>
      </c>
    </row>
    <row r="22" spans="1:11" x14ac:dyDescent="0.25">
      <c r="A22" t="s">
        <v>320</v>
      </c>
      <c r="B22">
        <v>29.3398</v>
      </c>
      <c r="C22" t="s">
        <v>152</v>
      </c>
      <c r="D22" t="s">
        <v>153</v>
      </c>
      <c r="E22">
        <v>30.13</v>
      </c>
      <c r="F22">
        <v>5080</v>
      </c>
      <c r="G22">
        <v>5080</v>
      </c>
      <c r="I22" t="s">
        <v>181</v>
      </c>
      <c r="J22">
        <f>ROUNDUP(CAISSE[[#This Row],[MC CONSERVERIE]]/100,0)</f>
        <v>51</v>
      </c>
      <c r="K22">
        <f>ROUNDUP(CAISSE[[#This Row],[BENI TAMOU]]/100,0)</f>
        <v>0</v>
      </c>
    </row>
    <row r="23" spans="1:11" x14ac:dyDescent="0.25">
      <c r="A23" t="s">
        <v>320</v>
      </c>
      <c r="B23">
        <v>29.3398</v>
      </c>
      <c r="C23" t="s">
        <v>156</v>
      </c>
      <c r="D23" t="s">
        <v>157</v>
      </c>
      <c r="E23">
        <v>1.5338000000000001</v>
      </c>
      <c r="F23">
        <v>2800</v>
      </c>
      <c r="G23">
        <v>2800</v>
      </c>
      <c r="I23" t="s">
        <v>181</v>
      </c>
      <c r="J23">
        <f>ROUNDUP(CAISSE[[#This Row],[MC CONSERVERIE]]/100,0)</f>
        <v>28</v>
      </c>
      <c r="K23">
        <f>ROUNDUP(CAISSE[[#This Row],[BENI TAMOU]]/100,0)</f>
        <v>0</v>
      </c>
    </row>
    <row r="24" spans="1:11" x14ac:dyDescent="0.25">
      <c r="A24" t="s">
        <v>320</v>
      </c>
      <c r="B24">
        <v>29.3398</v>
      </c>
      <c r="C24" t="s">
        <v>158</v>
      </c>
      <c r="D24" t="s">
        <v>159</v>
      </c>
      <c r="E24">
        <v>26.7029</v>
      </c>
      <c r="F24">
        <v>3988</v>
      </c>
      <c r="G24">
        <v>3988</v>
      </c>
      <c r="I24" t="s">
        <v>181</v>
      </c>
      <c r="J24">
        <f>ROUNDUP(CAISSE[[#This Row],[MC CONSERVERIE]]/100,0)</f>
        <v>40</v>
      </c>
      <c r="K24">
        <f>ROUNDUP(CAISSE[[#This Row],[BENI TAMOU]]/100,0)</f>
        <v>0</v>
      </c>
    </row>
    <row r="25" spans="1:11" x14ac:dyDescent="0.25">
      <c r="A25" t="s">
        <v>320</v>
      </c>
      <c r="B25">
        <v>29.3398</v>
      </c>
      <c r="C25" t="s">
        <v>164</v>
      </c>
      <c r="D25" t="s">
        <v>165</v>
      </c>
      <c r="E25">
        <v>29.143999999999998</v>
      </c>
      <c r="F25">
        <v>4710</v>
      </c>
      <c r="G25">
        <v>4710</v>
      </c>
      <c r="I25" t="s">
        <v>181</v>
      </c>
      <c r="J25">
        <f>ROUNDUP(CAISSE[[#This Row],[MC CONSERVERIE]]/100,0)</f>
        <v>48</v>
      </c>
      <c r="K25">
        <f>ROUNDUP(CAISSE[[#This Row],[BENI TAMOU]]/100,0)</f>
        <v>0</v>
      </c>
    </row>
    <row r="26" spans="1:11" x14ac:dyDescent="0.25">
      <c r="A26" t="s">
        <v>320</v>
      </c>
      <c r="B26">
        <v>29.3398</v>
      </c>
      <c r="C26" t="s">
        <v>166</v>
      </c>
      <c r="D26" t="s">
        <v>167</v>
      </c>
      <c r="E26">
        <v>1</v>
      </c>
      <c r="F26">
        <v>0</v>
      </c>
      <c r="I26" t="s">
        <v>181</v>
      </c>
      <c r="J26">
        <f>ROUNDUP(CAISSE[[#This Row],[MC CONSERVERIE]]/100,0)</f>
        <v>0</v>
      </c>
      <c r="K26">
        <f>ROUNDUP(CAISSE[[#This Row],[BENI TAMOU]]/100,0)</f>
        <v>0</v>
      </c>
    </row>
    <row r="27" spans="1:11" x14ac:dyDescent="0.25">
      <c r="A27" t="s">
        <v>320</v>
      </c>
      <c r="B27">
        <v>29.3398</v>
      </c>
      <c r="C27" t="s">
        <v>128</v>
      </c>
      <c r="D27" t="s">
        <v>129</v>
      </c>
      <c r="E27">
        <v>32.310400000000001</v>
      </c>
      <c r="F27">
        <v>0</v>
      </c>
      <c r="I27" t="s">
        <v>181</v>
      </c>
      <c r="J27">
        <f>ROUNDUP(CAISSE[[#This Row],[MC CONSERVERIE]]/100,0)</f>
        <v>0</v>
      </c>
      <c r="K27">
        <f>ROUNDUP(CAISSE[[#This Row],[BENI TAMOU]]/100,0)</f>
        <v>0</v>
      </c>
    </row>
    <row r="28" spans="1:11" x14ac:dyDescent="0.25">
      <c r="A28" t="s">
        <v>320</v>
      </c>
      <c r="B28">
        <v>29.3398</v>
      </c>
      <c r="C28" t="s">
        <v>172</v>
      </c>
      <c r="D28" t="s">
        <v>173</v>
      </c>
      <c r="F28">
        <v>0</v>
      </c>
      <c r="I28" t="s">
        <v>181</v>
      </c>
      <c r="J28">
        <f>ROUNDUP(CAISSE[[#This Row],[MC CONSERVERIE]]/100,0)</f>
        <v>0</v>
      </c>
      <c r="K28">
        <f>ROUNDUP(CAISSE[[#This Row],[BENI TAMOU]]/100,0)</f>
        <v>0</v>
      </c>
    </row>
    <row r="29" spans="1:11" x14ac:dyDescent="0.25">
      <c r="A29" t="s">
        <v>320</v>
      </c>
      <c r="B29">
        <v>29.3398</v>
      </c>
      <c r="C29" t="s">
        <v>174</v>
      </c>
      <c r="D29" t="s">
        <v>175</v>
      </c>
      <c r="F29">
        <v>0</v>
      </c>
      <c r="I29" t="s">
        <v>181</v>
      </c>
      <c r="J29">
        <f>ROUNDUP(CAISSE[[#This Row],[MC CONSERVERIE]]/100,0)</f>
        <v>0</v>
      </c>
      <c r="K29">
        <f>ROUNDUP(CAISSE[[#This Row],[BENI TAMOU]]/100,0)</f>
        <v>0</v>
      </c>
    </row>
    <row r="30" spans="1:11" x14ac:dyDescent="0.25">
      <c r="A30" t="s">
        <v>320</v>
      </c>
      <c r="B30">
        <v>29.3398</v>
      </c>
      <c r="C30" t="s">
        <v>178</v>
      </c>
      <c r="D30" t="s">
        <v>179</v>
      </c>
      <c r="E30">
        <v>0</v>
      </c>
      <c r="F30">
        <v>0</v>
      </c>
      <c r="I30" t="s">
        <v>181</v>
      </c>
      <c r="J30">
        <f>ROUNDUP(CAISSE[[#This Row],[MC CONSERVERIE]]/100,0)</f>
        <v>0</v>
      </c>
      <c r="K30">
        <f>ROUNDUP(CAISSE[[#This Row],[BENI TAMOU]]/100,0)</f>
        <v>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70F0-72B8-4CE8-A389-F23A2E5E9619}">
  <dimension ref="A1:T28"/>
  <sheetViews>
    <sheetView workbookViewId="0">
      <selection activeCell="E22" sqref="E22:F22"/>
    </sheetView>
  </sheetViews>
  <sheetFormatPr baseColWidth="10" defaultColWidth="9.140625" defaultRowHeight="17.25" x14ac:dyDescent="0.35"/>
  <cols>
    <col min="1" max="1" width="20.140625" bestFit="1" customWidth="1"/>
    <col min="2" max="2" width="8.5703125" bestFit="1" customWidth="1"/>
    <col min="3" max="3" width="14.5703125" bestFit="1" customWidth="1"/>
    <col min="4" max="4" width="14.140625" bestFit="1" customWidth="1"/>
    <col min="5" max="5" width="9.7109375" customWidth="1"/>
    <col min="6" max="6" width="48.140625" bestFit="1" customWidth="1"/>
    <col min="7" max="7" width="12.85546875" bestFit="1" customWidth="1"/>
    <col min="8" max="8" width="19" bestFit="1" customWidth="1"/>
    <col min="9" max="9" width="14.85546875" bestFit="1" customWidth="1"/>
    <col min="10" max="10" width="24.28515625" bestFit="1" customWidth="1"/>
    <col min="11" max="13" width="27" bestFit="1" customWidth="1"/>
    <col min="14" max="14" width="14.85546875" bestFit="1" customWidth="1"/>
    <col min="15" max="15" width="15.140625" bestFit="1" customWidth="1"/>
    <col min="16" max="18" width="19.42578125" style="1" customWidth="1"/>
    <col min="21" max="21" width="27.42578125" customWidth="1"/>
    <col min="22" max="22" width="22.85546875" customWidth="1"/>
    <col min="23" max="23" width="14.28515625" customWidth="1"/>
  </cols>
  <sheetData>
    <row r="1" spans="1:20" x14ac:dyDescent="0.35">
      <c r="A1" t="s">
        <v>0</v>
      </c>
      <c r="B1" t="s">
        <v>312</v>
      </c>
      <c r="C1" t="s">
        <v>196</v>
      </c>
      <c r="D1" t="s">
        <v>321</v>
      </c>
      <c r="E1" t="s">
        <v>2</v>
      </c>
      <c r="F1" t="s">
        <v>3</v>
      </c>
      <c r="G1" t="s">
        <v>63</v>
      </c>
      <c r="H1" t="s">
        <v>5</v>
      </c>
      <c r="I1" t="s">
        <v>6</v>
      </c>
      <c r="J1" t="s">
        <v>193</v>
      </c>
      <c r="K1" t="s">
        <v>204</v>
      </c>
      <c r="M1" s="11" t="s">
        <v>199</v>
      </c>
      <c r="N1" s="11" t="s">
        <v>200</v>
      </c>
      <c r="O1" s="11" t="s">
        <v>201</v>
      </c>
      <c r="P1"/>
      <c r="Q1"/>
      <c r="R1" s="8" t="s">
        <v>202</v>
      </c>
      <c r="S1" s="8" t="s">
        <v>186</v>
      </c>
      <c r="T1" s="8" t="s">
        <v>184</v>
      </c>
    </row>
    <row r="2" spans="1:20" hidden="1" x14ac:dyDescent="0.35">
      <c r="A2" t="s">
        <v>65</v>
      </c>
      <c r="B2" t="s">
        <v>313</v>
      </c>
      <c r="C2" t="s">
        <v>66</v>
      </c>
      <c r="D2" t="s">
        <v>188</v>
      </c>
      <c r="E2" t="s">
        <v>154</v>
      </c>
      <c r="F2" t="s">
        <v>155</v>
      </c>
      <c r="G2">
        <v>16416</v>
      </c>
      <c r="K2" t="s">
        <v>181</v>
      </c>
      <c r="M2" s="1" t="e">
        <f>ROUNDUP(IF(#REF!=  "800 GR",BOITE[[#This Row],[MC CONSERVERIE]]/1716,IF(#REF!=  "400 GR",BOITE[[#This Row],[MC CONSERVERIE]]/3456,BOITE[[#This Row],[MC CONSERVERIE]]/4800)),0)</f>
        <v>#REF!</v>
      </c>
      <c r="N2" s="1">
        <f>ROUNDUP(IF(BOITE[[#This Row],[Code]]=  "800 GR",BOITE[[#This Row],[BENI TAMOU]]/1716,IF(BOITE[[#This Row],[Code]]=  "400 GR",BOITE[[#This Row],[BENI TAMOU]]/3456,BOITE[[#This Row],[BENI TAMOU]]/4800)),0)</f>
        <v>0</v>
      </c>
      <c r="O2" s="1">
        <f>ROUNDUP(IF(BOITE[[#This Row],[Libellé]]=  "800 GR",BOITE[[#This Row],[BENI TAMOU]]/1716,IF(BOITE[[#This Row],[Libellé]]=  "400 GR",BOITE[[#This Row],[BENI TAMOU]]/3456,BOITE[[#This Row],[BENI TAMOU]]/4800)),0)</f>
        <v>0</v>
      </c>
      <c r="P2"/>
      <c r="Q2"/>
      <c r="R2" s="2" t="s">
        <v>182</v>
      </c>
      <c r="S2" s="3">
        <f>4*32</f>
        <v>128</v>
      </c>
      <c r="T2" s="4">
        <f>S2/$S$2</f>
        <v>1</v>
      </c>
    </row>
    <row r="3" spans="1:20" x14ac:dyDescent="0.35">
      <c r="A3" t="s">
        <v>65</v>
      </c>
      <c r="B3" t="s">
        <v>314</v>
      </c>
      <c r="C3" t="s">
        <v>66</v>
      </c>
      <c r="D3" t="s">
        <v>187</v>
      </c>
      <c r="E3" t="s">
        <v>69</v>
      </c>
      <c r="F3" t="s">
        <v>70</v>
      </c>
      <c r="G3">
        <v>0</v>
      </c>
      <c r="K3" t="s">
        <v>181</v>
      </c>
      <c r="M3" s="1" t="e">
        <f>ROUNDUP(IF(#REF!=  "800 GR",BOITE[[#This Row],[MC CONSERVERIE]]/1716,IF(#REF!=  "400 GR",BOITE[[#This Row],[MC CONSERVERIE]]/3456,BOITE[[#This Row],[MC CONSERVERIE]]/4800)),0)</f>
        <v>#REF!</v>
      </c>
      <c r="N3" s="1">
        <f>ROUNDUP(IF(BOITE[[#This Row],[Code]]=  "800 GR",BOITE[[#This Row],[BENI TAMOU]]/1716,IF(BOITE[[#This Row],[Code]]=  "400 GR",BOITE[[#This Row],[BENI TAMOU]]/3456,BOITE[[#This Row],[BENI TAMOU]]/4800)),0)</f>
        <v>0</v>
      </c>
      <c r="O3" s="1">
        <f>ROUNDUP(IF(BOITE[[#This Row],[Libellé]]=  "800 GR",BOITE[[#This Row],[BENI TAMOU]]/1716,IF(BOITE[[#This Row],[Libellé]]=  "400 GR",BOITE[[#This Row],[BENI TAMOU]]/3456,BOITE[[#This Row],[BENI TAMOU]]/4800)),0)</f>
        <v>0</v>
      </c>
      <c r="P3"/>
      <c r="Q3"/>
      <c r="R3" s="2" t="s">
        <v>183</v>
      </c>
      <c r="S3" s="3" t="e">
        <f>SUM(M2:M28)</f>
        <v>#REF!</v>
      </c>
      <c r="T3" s="4" t="e">
        <f>S3/$S$2</f>
        <v>#REF!</v>
      </c>
    </row>
    <row r="4" spans="1:20" x14ac:dyDescent="0.35">
      <c r="A4" t="s">
        <v>65</v>
      </c>
      <c r="B4" t="s">
        <v>314</v>
      </c>
      <c r="C4" t="s">
        <v>64</v>
      </c>
      <c r="D4" t="s">
        <v>187</v>
      </c>
      <c r="E4" t="s">
        <v>79</v>
      </c>
      <c r="F4" t="s">
        <v>80</v>
      </c>
      <c r="G4">
        <v>26720</v>
      </c>
      <c r="K4" t="s">
        <v>181</v>
      </c>
      <c r="M4" s="1" t="e">
        <f>ROUNDUP(IF(#REF!=  "800 GR",BOITE[[#This Row],[MC CONSERVERIE]]/1716,IF(#REF!=  "400 GR",BOITE[[#This Row],[MC CONSERVERIE]]/3456,BOITE[[#This Row],[MC CONSERVERIE]]/4800)),0)</f>
        <v>#REF!</v>
      </c>
      <c r="N4" s="1">
        <f>ROUNDUP(IF(BOITE[[#This Row],[Code]]=  "800 GR",BOITE[[#This Row],[BENI TAMOU]]/1716,IF(BOITE[[#This Row],[Code]]=  "400 GR",BOITE[[#This Row],[BENI TAMOU]]/3456,BOITE[[#This Row],[BENI TAMOU]]/4800)),0)</f>
        <v>0</v>
      </c>
      <c r="O4" s="1">
        <f>ROUNDUP(IF(BOITE[[#This Row],[Libellé]]=  "800 GR",BOITE[[#This Row],[BENI TAMOU]]/1716,IF(BOITE[[#This Row],[Libellé]]=  "400 GR",BOITE[[#This Row],[BENI TAMOU]]/3456,BOITE[[#This Row],[BENI TAMOU]]/4800)),0)</f>
        <v>0</v>
      </c>
      <c r="P4"/>
      <c r="Q4"/>
      <c r="R4" s="2" t="s">
        <v>185</v>
      </c>
      <c r="S4" s="3" t="e">
        <f>S2-S3</f>
        <v>#REF!</v>
      </c>
      <c r="T4" s="4" t="e">
        <f>S4/$S$2</f>
        <v>#REF!</v>
      </c>
    </row>
    <row r="5" spans="1:20" hidden="1" x14ac:dyDescent="0.35">
      <c r="A5" t="s">
        <v>65</v>
      </c>
      <c r="B5" t="s">
        <v>313</v>
      </c>
      <c r="C5" t="s">
        <v>66</v>
      </c>
      <c r="D5" t="s">
        <v>188</v>
      </c>
      <c r="E5" t="s">
        <v>67</v>
      </c>
      <c r="F5" t="s">
        <v>68</v>
      </c>
      <c r="G5">
        <v>0</v>
      </c>
      <c r="K5" t="s">
        <v>181</v>
      </c>
      <c r="M5" s="1" t="e">
        <f>ROUNDUP(IF(#REF!=  "800 GR",BOITE[[#This Row],[MC CONSERVERIE]]/1716,IF(#REF!=  "400 GR",BOITE[[#This Row],[MC CONSERVERIE]]/3456,BOITE[[#This Row],[MC CONSERVERIE]]/4800)),0)</f>
        <v>#REF!</v>
      </c>
      <c r="N5" s="1">
        <f>ROUNDUP(IF(BOITE[[#This Row],[Code]]=  "800 GR",BOITE[[#This Row],[BENI TAMOU]]/1716,IF(BOITE[[#This Row],[Code]]=  "400 GR",BOITE[[#This Row],[BENI TAMOU]]/3456,BOITE[[#This Row],[BENI TAMOU]]/4800)),0)</f>
        <v>0</v>
      </c>
      <c r="O5" s="1">
        <f>ROUNDUP(IF(BOITE[[#This Row],[Libellé]]=  "800 GR",BOITE[[#This Row],[BENI TAMOU]]/1716,IF(BOITE[[#This Row],[Libellé]]=  "400 GR",BOITE[[#This Row],[BENI TAMOU]]/3456,BOITE[[#This Row],[BENI TAMOU]]/4800)),0)</f>
        <v>0</v>
      </c>
      <c r="P5"/>
      <c r="Q5"/>
      <c r="R5" s="2" t="s">
        <v>190</v>
      </c>
      <c r="S5" s="3" t="e">
        <f>S4*1716</f>
        <v>#REF!</v>
      </c>
      <c r="T5" s="5"/>
    </row>
    <row r="6" spans="1:20" hidden="1" x14ac:dyDescent="0.35">
      <c r="A6" t="s">
        <v>65</v>
      </c>
      <c r="B6" t="s">
        <v>313</v>
      </c>
      <c r="C6" t="s">
        <v>66</v>
      </c>
      <c r="D6" t="s">
        <v>188</v>
      </c>
      <c r="E6" t="s">
        <v>168</v>
      </c>
      <c r="F6" t="s">
        <v>169</v>
      </c>
      <c r="G6">
        <v>0</v>
      </c>
      <c r="K6" t="s">
        <v>181</v>
      </c>
      <c r="M6" s="1" t="e">
        <f>ROUNDUP(IF(#REF!=  "800 GR",BOITE[[#This Row],[MC CONSERVERIE]]/1716,IF(#REF!=  "400 GR",BOITE[[#This Row],[MC CONSERVERIE]]/3456,BOITE[[#This Row],[MC CONSERVERIE]]/4800)),0)</f>
        <v>#REF!</v>
      </c>
      <c r="N6" s="1">
        <f>ROUNDUP(IF(BOITE[[#This Row],[Code]]=  "800 GR",BOITE[[#This Row],[BENI TAMOU]]/1716,IF(BOITE[[#This Row],[Code]]=  "400 GR",BOITE[[#This Row],[BENI TAMOU]]/3456,BOITE[[#This Row],[BENI TAMOU]]/4800)),0)</f>
        <v>0</v>
      </c>
      <c r="O6" s="1">
        <f>ROUNDUP(IF(BOITE[[#This Row],[Libellé]]=  "800 GR",BOITE[[#This Row],[BENI TAMOU]]/1716,IF(BOITE[[#This Row],[Libellé]]=  "400 GR",BOITE[[#This Row],[BENI TAMOU]]/3456,BOITE[[#This Row],[BENI TAMOU]]/4800)),0)</f>
        <v>0</v>
      </c>
      <c r="P6"/>
      <c r="Q6"/>
      <c r="R6" s="2" t="s">
        <v>191</v>
      </c>
      <c r="S6" s="3" t="e">
        <f>S4*3456</f>
        <v>#REF!</v>
      </c>
      <c r="T6" s="5"/>
    </row>
    <row r="7" spans="1:20" ht="18" thickBot="1" x14ac:dyDescent="0.4">
      <c r="A7" t="s">
        <v>65</v>
      </c>
      <c r="B7" t="s">
        <v>314</v>
      </c>
      <c r="C7" t="s">
        <v>66</v>
      </c>
      <c r="D7" t="s">
        <v>187</v>
      </c>
      <c r="E7" t="s">
        <v>98</v>
      </c>
      <c r="F7" t="s">
        <v>99</v>
      </c>
      <c r="G7">
        <v>5916</v>
      </c>
      <c r="K7" t="s">
        <v>181</v>
      </c>
      <c r="M7" s="1" t="e">
        <f>ROUNDUP(IF(#REF!=  "800 GR",BOITE[[#This Row],[MC CONSERVERIE]]/1716,IF(#REF!=  "400 GR",BOITE[[#This Row],[MC CONSERVERIE]]/3456,BOITE[[#This Row],[MC CONSERVERIE]]/4800)),0)</f>
        <v>#REF!</v>
      </c>
      <c r="N7" s="1">
        <f>ROUNDUP(IF(BOITE[[#This Row],[Code]]=  "800 GR",BOITE[[#This Row],[BENI TAMOU]]/1716,IF(BOITE[[#This Row],[Code]]=  "400 GR",BOITE[[#This Row],[BENI TAMOU]]/3456,BOITE[[#This Row],[BENI TAMOU]]/4800)),0)</f>
        <v>0</v>
      </c>
      <c r="O7" s="1">
        <f>ROUNDUP(IF(BOITE[[#This Row],[Libellé]]=  "800 GR",BOITE[[#This Row],[BENI TAMOU]]/1716,IF(BOITE[[#This Row],[Libellé]]=  "400 GR",BOITE[[#This Row],[BENI TAMOU]]/3456,BOITE[[#This Row],[BENI TAMOU]]/4800)),0)</f>
        <v>0</v>
      </c>
      <c r="P7"/>
      <c r="Q7"/>
      <c r="R7" s="6" t="s">
        <v>192</v>
      </c>
      <c r="S7" s="3" t="e">
        <f>S4*4800</f>
        <v>#REF!</v>
      </c>
      <c r="T7" s="7"/>
    </row>
    <row r="8" spans="1:20" hidden="1" x14ac:dyDescent="0.35">
      <c r="A8" t="s">
        <v>65</v>
      </c>
      <c r="B8" t="s">
        <v>313</v>
      </c>
      <c r="C8" t="s">
        <v>66</v>
      </c>
      <c r="D8" t="s">
        <v>188</v>
      </c>
      <c r="E8" t="s">
        <v>73</v>
      </c>
      <c r="F8" t="s">
        <v>74</v>
      </c>
      <c r="G8">
        <v>0</v>
      </c>
      <c r="K8" t="s">
        <v>181</v>
      </c>
      <c r="M8" s="1" t="e">
        <f>ROUNDUP(IF(#REF!=  "800 GR",BOITE[[#This Row],[MC CONSERVERIE]]/1716,IF(#REF!=  "400 GR",BOITE[[#This Row],[MC CONSERVERIE]]/3456,BOITE[[#This Row],[MC CONSERVERIE]]/4800)),0)</f>
        <v>#REF!</v>
      </c>
      <c r="N8" s="1">
        <f>ROUNDUP(IF(BOITE[[#This Row],[Code]]=  "800 GR",BOITE[[#This Row],[BENI TAMOU]]/1716,IF(BOITE[[#This Row],[Code]]=  "400 GR",BOITE[[#This Row],[BENI TAMOU]]/3456,BOITE[[#This Row],[BENI TAMOU]]/4800)),0)</f>
        <v>0</v>
      </c>
      <c r="O8" s="1">
        <f>ROUNDUP(IF(BOITE[[#This Row],[Libellé]]=  "800 GR",BOITE[[#This Row],[BENI TAMOU]]/1716,IF(BOITE[[#This Row],[Libellé]]=  "400 GR",BOITE[[#This Row],[BENI TAMOU]]/3456,BOITE[[#This Row],[BENI TAMOU]]/4800)),0)</f>
        <v>0</v>
      </c>
      <c r="P8"/>
      <c r="Q8"/>
      <c r="R8"/>
    </row>
    <row r="9" spans="1:20" hidden="1" x14ac:dyDescent="0.35">
      <c r="A9" t="s">
        <v>65</v>
      </c>
      <c r="B9" t="s">
        <v>313</v>
      </c>
      <c r="C9" t="s">
        <v>66</v>
      </c>
      <c r="D9" t="s">
        <v>188</v>
      </c>
      <c r="E9" t="s">
        <v>142</v>
      </c>
      <c r="F9" t="s">
        <v>143</v>
      </c>
      <c r="G9">
        <v>16836</v>
      </c>
      <c r="K9" t="s">
        <v>181</v>
      </c>
      <c r="M9" s="1" t="e">
        <f>ROUNDUP(IF(#REF!=  "800 GR",BOITE[[#This Row],[MC CONSERVERIE]]/1716,IF(#REF!=  "400 GR",BOITE[[#This Row],[MC CONSERVERIE]]/3456,BOITE[[#This Row],[MC CONSERVERIE]]/4800)),0)</f>
        <v>#REF!</v>
      </c>
      <c r="N9" s="1">
        <f>ROUNDUP(IF(BOITE[[#This Row],[Code]]=  "800 GR",BOITE[[#This Row],[BENI TAMOU]]/1716,IF(BOITE[[#This Row],[Code]]=  "400 GR",BOITE[[#This Row],[BENI TAMOU]]/3456,BOITE[[#This Row],[BENI TAMOU]]/4800)),0)</f>
        <v>0</v>
      </c>
      <c r="O9" s="1">
        <f>ROUNDUP(IF(BOITE[[#This Row],[Libellé]]=  "800 GR",BOITE[[#This Row],[BENI TAMOU]]/1716,IF(BOITE[[#This Row],[Libellé]]=  "400 GR",BOITE[[#This Row],[BENI TAMOU]]/3456,BOITE[[#This Row],[BENI TAMOU]]/4800)),0)</f>
        <v>0</v>
      </c>
      <c r="P9"/>
      <c r="Q9"/>
      <c r="R9" s="8" t="s">
        <v>203</v>
      </c>
      <c r="S9" s="8" t="s">
        <v>186</v>
      </c>
      <c r="T9" s="8" t="s">
        <v>184</v>
      </c>
    </row>
    <row r="10" spans="1:20" hidden="1" x14ac:dyDescent="0.35">
      <c r="A10" t="s">
        <v>65</v>
      </c>
      <c r="B10" t="s">
        <v>313</v>
      </c>
      <c r="C10" t="s">
        <v>66</v>
      </c>
      <c r="D10" t="s">
        <v>188</v>
      </c>
      <c r="E10" t="s">
        <v>162</v>
      </c>
      <c r="F10" t="s">
        <v>163</v>
      </c>
      <c r="G10">
        <v>3532</v>
      </c>
      <c r="K10" t="s">
        <v>181</v>
      </c>
      <c r="M10" s="1" t="e">
        <f>ROUNDUP(IF(#REF!=  "800 GR",BOITE[[#This Row],[MC CONSERVERIE]]/1716,IF(#REF!=  "400 GR",BOITE[[#This Row],[MC CONSERVERIE]]/3456,BOITE[[#This Row],[MC CONSERVERIE]]/4800)),0)</f>
        <v>#REF!</v>
      </c>
      <c r="N10" s="1">
        <f>ROUNDUP(IF(BOITE[[#This Row],[Code]]=  "800 GR",BOITE[[#This Row],[BENI TAMOU]]/1716,IF(BOITE[[#This Row],[Code]]=  "400 GR",BOITE[[#This Row],[BENI TAMOU]]/3456,BOITE[[#This Row],[BENI TAMOU]]/4800)),0)</f>
        <v>0</v>
      </c>
      <c r="O10" s="1">
        <f>ROUNDUP(IF(BOITE[[#This Row],[Libellé]]=  "800 GR",BOITE[[#This Row],[BENI TAMOU]]/1716,IF(BOITE[[#This Row],[Libellé]]=  "400 GR",BOITE[[#This Row],[BENI TAMOU]]/3456,BOITE[[#This Row],[BENI TAMOU]]/4800)),0)</f>
        <v>0</v>
      </c>
      <c r="P10"/>
      <c r="Q10"/>
      <c r="R10" s="2" t="s">
        <v>182</v>
      </c>
      <c r="S10" s="3">
        <v>2727</v>
      </c>
      <c r="T10" s="4">
        <f>S10/$S$10</f>
        <v>1</v>
      </c>
    </row>
    <row r="11" spans="1:20" hidden="1" x14ac:dyDescent="0.35">
      <c r="A11" t="s">
        <v>65</v>
      </c>
      <c r="B11" t="s">
        <v>313</v>
      </c>
      <c r="C11" t="s">
        <v>66</v>
      </c>
      <c r="D11" t="s">
        <v>188</v>
      </c>
      <c r="E11" t="s">
        <v>146</v>
      </c>
      <c r="F11" t="s">
        <v>147</v>
      </c>
      <c r="G11">
        <v>0</v>
      </c>
      <c r="K11" t="s">
        <v>181</v>
      </c>
      <c r="M11" s="1" t="e">
        <f>ROUNDUP(IF(#REF!=  "800 GR",BOITE[[#This Row],[MC CONSERVERIE]]/1716,IF(#REF!=  "400 GR",BOITE[[#This Row],[MC CONSERVERIE]]/3456,BOITE[[#This Row],[MC CONSERVERIE]]/4800)),0)</f>
        <v>#REF!</v>
      </c>
      <c r="N11" s="1">
        <f>ROUNDUP(IF(BOITE[[#This Row],[Code]]=  "800 GR",BOITE[[#This Row],[BENI TAMOU]]/1716,IF(BOITE[[#This Row],[Code]]=  "400 GR",BOITE[[#This Row],[BENI TAMOU]]/3456,BOITE[[#This Row],[BENI TAMOU]]/4800)),0)</f>
        <v>0</v>
      </c>
      <c r="O11" s="1">
        <f>ROUNDUP(IF(BOITE[[#This Row],[Libellé]]=  "800 GR",BOITE[[#This Row],[BENI TAMOU]]/1716,IF(BOITE[[#This Row],[Libellé]]=  "400 GR",BOITE[[#This Row],[BENI TAMOU]]/3456,BOITE[[#This Row],[BENI TAMOU]]/4800)),0)</f>
        <v>0</v>
      </c>
      <c r="P11"/>
      <c r="Q11"/>
      <c r="R11" s="2" t="s">
        <v>183</v>
      </c>
      <c r="S11" s="3">
        <f>SUM(O2:O28)</f>
        <v>0</v>
      </c>
      <c r="T11" s="4">
        <f>S11/$S$10</f>
        <v>0</v>
      </c>
    </row>
    <row r="12" spans="1:20" hidden="1" x14ac:dyDescent="0.35">
      <c r="A12" t="s">
        <v>65</v>
      </c>
      <c r="B12" t="s">
        <v>313</v>
      </c>
      <c r="C12" t="s">
        <v>87</v>
      </c>
      <c r="D12" t="s">
        <v>187</v>
      </c>
      <c r="E12" t="s">
        <v>90</v>
      </c>
      <c r="F12" t="s">
        <v>91</v>
      </c>
      <c r="G12">
        <v>1716</v>
      </c>
      <c r="K12" t="s">
        <v>181</v>
      </c>
      <c r="M12" s="1" t="e">
        <f>ROUNDUP(IF(#REF!=  "800 GR",BOITE[[#This Row],[MC CONSERVERIE]]/1716,IF(#REF!=  "400 GR",BOITE[[#This Row],[MC CONSERVERIE]]/3456,BOITE[[#This Row],[MC CONSERVERIE]]/4800)),0)</f>
        <v>#REF!</v>
      </c>
      <c r="N12" s="1">
        <f>ROUNDUP(IF(BOITE[[#This Row],[Code]]=  "800 GR",BOITE[[#This Row],[BENI TAMOU]]/1716,IF(BOITE[[#This Row],[Code]]=  "400 GR",BOITE[[#This Row],[BENI TAMOU]]/3456,BOITE[[#This Row],[BENI TAMOU]]/4800)),0)</f>
        <v>0</v>
      </c>
      <c r="O12" s="1">
        <f>ROUNDUP(IF(BOITE[[#This Row],[Libellé]]=  "800 GR",BOITE[[#This Row],[BENI TAMOU]]/1716,IF(BOITE[[#This Row],[Libellé]]=  "400 GR",BOITE[[#This Row],[BENI TAMOU]]/3456,BOITE[[#This Row],[BENI TAMOU]]/4800)),0)</f>
        <v>0</v>
      </c>
      <c r="P12"/>
      <c r="Q12"/>
      <c r="R12" s="2" t="s">
        <v>185</v>
      </c>
      <c r="S12" s="3">
        <f>S10-S11</f>
        <v>2727</v>
      </c>
      <c r="T12" s="4">
        <f>S12/$S$10</f>
        <v>1</v>
      </c>
    </row>
    <row r="13" spans="1:20" hidden="1" x14ac:dyDescent="0.35">
      <c r="A13" t="s">
        <v>65</v>
      </c>
      <c r="B13" t="s">
        <v>313</v>
      </c>
      <c r="C13" t="s">
        <v>66</v>
      </c>
      <c r="D13" t="s">
        <v>188</v>
      </c>
      <c r="E13" t="s">
        <v>150</v>
      </c>
      <c r="F13" t="s">
        <v>151</v>
      </c>
      <c r="G13">
        <v>0</v>
      </c>
      <c r="K13" t="s">
        <v>181</v>
      </c>
      <c r="M13" s="1" t="e">
        <f>ROUNDUP(IF(#REF!=  "800 GR",BOITE[[#This Row],[MC CONSERVERIE]]/1716,IF(#REF!=  "400 GR",BOITE[[#This Row],[MC CONSERVERIE]]/3456,BOITE[[#This Row],[MC CONSERVERIE]]/4800)),0)</f>
        <v>#REF!</v>
      </c>
      <c r="N13" s="1">
        <f>ROUNDUP(IF(BOITE[[#This Row],[Code]]=  "800 GR",BOITE[[#This Row],[BENI TAMOU]]/1716,IF(BOITE[[#This Row],[Code]]=  "400 GR",BOITE[[#This Row],[BENI TAMOU]]/3456,BOITE[[#This Row],[BENI TAMOU]]/4800)),0)</f>
        <v>0</v>
      </c>
      <c r="O13" s="1">
        <f>ROUNDUP(IF(BOITE[[#This Row],[Libellé]]=  "800 GR",BOITE[[#This Row],[BENI TAMOU]]/1716,IF(BOITE[[#This Row],[Libellé]]=  "400 GR",BOITE[[#This Row],[BENI TAMOU]]/3456,BOITE[[#This Row],[BENI TAMOU]]/4800)),0)</f>
        <v>0</v>
      </c>
      <c r="P13"/>
      <c r="Q13"/>
      <c r="R13" s="2" t="s">
        <v>190</v>
      </c>
      <c r="S13" s="3">
        <f>S12*1716</f>
        <v>4679532</v>
      </c>
      <c r="T13" s="5"/>
    </row>
    <row r="14" spans="1:20" hidden="1" x14ac:dyDescent="0.35">
      <c r="A14" t="s">
        <v>65</v>
      </c>
      <c r="B14" t="s">
        <v>313</v>
      </c>
      <c r="C14" t="s">
        <v>87</v>
      </c>
      <c r="D14" t="s">
        <v>189</v>
      </c>
      <c r="E14" t="s">
        <v>92</v>
      </c>
      <c r="F14" t="s">
        <v>93</v>
      </c>
      <c r="G14">
        <v>1341912</v>
      </c>
      <c r="K14" t="s">
        <v>181</v>
      </c>
      <c r="M14" s="1" t="e">
        <f>ROUNDUP(IF(#REF!=  "800 GR",BOITE[[#This Row],[MC CONSERVERIE]]/1716,IF(#REF!=  "400 GR",BOITE[[#This Row],[MC CONSERVERIE]]/3456,BOITE[[#This Row],[MC CONSERVERIE]]/4800)),0)</f>
        <v>#REF!</v>
      </c>
      <c r="N14" s="1">
        <f>ROUNDUP(IF(BOITE[[#This Row],[Code]]=  "800 GR",BOITE[[#This Row],[BENI TAMOU]]/1716,IF(BOITE[[#This Row],[Code]]=  "400 GR",BOITE[[#This Row],[BENI TAMOU]]/3456,BOITE[[#This Row],[BENI TAMOU]]/4800)),0)</f>
        <v>0</v>
      </c>
      <c r="O14" s="1">
        <f>ROUNDUP(IF(BOITE[[#This Row],[Libellé]]=  "800 GR",BOITE[[#This Row],[BENI TAMOU]]/1716,IF(BOITE[[#This Row],[Libellé]]=  "400 GR",BOITE[[#This Row],[BENI TAMOU]]/3456,BOITE[[#This Row],[BENI TAMOU]]/4800)),0)</f>
        <v>0</v>
      </c>
      <c r="P14"/>
      <c r="Q14"/>
      <c r="R14" s="2" t="s">
        <v>191</v>
      </c>
      <c r="S14" s="3">
        <f>S12*3456</f>
        <v>9424512</v>
      </c>
      <c r="T14" s="5"/>
    </row>
    <row r="15" spans="1:20" ht="18" hidden="1" thickBot="1" x14ac:dyDescent="0.4">
      <c r="A15" t="s">
        <v>65</v>
      </c>
      <c r="B15" t="s">
        <v>313</v>
      </c>
      <c r="C15" t="s">
        <v>66</v>
      </c>
      <c r="D15" t="s">
        <v>188</v>
      </c>
      <c r="E15" t="s">
        <v>100</v>
      </c>
      <c r="F15" t="s">
        <v>101</v>
      </c>
      <c r="G15">
        <v>0</v>
      </c>
      <c r="K15" t="s">
        <v>181</v>
      </c>
      <c r="M15" s="1" t="e">
        <f>ROUNDUP(IF(#REF!=  "800 GR",BOITE[[#This Row],[MC CONSERVERIE]]/1716,IF(#REF!=  "400 GR",BOITE[[#This Row],[MC CONSERVERIE]]/3456,BOITE[[#This Row],[MC CONSERVERIE]]/4800)),0)</f>
        <v>#REF!</v>
      </c>
      <c r="N15" s="1">
        <f>ROUNDUP(IF(BOITE[[#This Row],[Code]]=  "800 GR",BOITE[[#This Row],[BENI TAMOU]]/1716,IF(BOITE[[#This Row],[Code]]=  "400 GR",BOITE[[#This Row],[BENI TAMOU]]/3456,BOITE[[#This Row],[BENI TAMOU]]/4800)),0)</f>
        <v>0</v>
      </c>
      <c r="O15" s="1">
        <f>ROUNDUP(IF(BOITE[[#This Row],[Libellé]]=  "800 GR",BOITE[[#This Row],[BENI TAMOU]]/1716,IF(BOITE[[#This Row],[Libellé]]=  "400 GR",BOITE[[#This Row],[BENI TAMOU]]/3456,BOITE[[#This Row],[BENI TAMOU]]/4800)),0)</f>
        <v>0</v>
      </c>
      <c r="P15"/>
      <c r="Q15"/>
      <c r="R15" s="6" t="s">
        <v>192</v>
      </c>
      <c r="S15" s="3">
        <f>S12*4800</f>
        <v>13089600</v>
      </c>
      <c r="T15" s="7"/>
    </row>
    <row r="16" spans="1:20" hidden="1" x14ac:dyDescent="0.35">
      <c r="A16" t="s">
        <v>65</v>
      </c>
      <c r="B16" t="s">
        <v>313</v>
      </c>
      <c r="C16" t="s">
        <v>64</v>
      </c>
      <c r="D16" t="s">
        <v>188</v>
      </c>
      <c r="E16" t="s">
        <v>83</v>
      </c>
      <c r="F16" t="s">
        <v>84</v>
      </c>
      <c r="G16">
        <v>511152</v>
      </c>
      <c r="K16" t="s">
        <v>181</v>
      </c>
      <c r="M16" s="1" t="e">
        <f>ROUNDUP(IF(#REF!=  "800 GR",BOITE[[#This Row],[MC CONSERVERIE]]/1716,IF(#REF!=  "400 GR",BOITE[[#This Row],[MC CONSERVERIE]]/3456,BOITE[[#This Row],[MC CONSERVERIE]]/4800)),0)</f>
        <v>#REF!</v>
      </c>
      <c r="N16" s="1">
        <f>ROUNDUP(IF(BOITE[[#This Row],[Code]]=  "800 GR",BOITE[[#This Row],[BENI TAMOU]]/1716,IF(BOITE[[#This Row],[Code]]=  "400 GR",BOITE[[#This Row],[BENI TAMOU]]/3456,BOITE[[#This Row],[BENI TAMOU]]/4800)),0)</f>
        <v>0</v>
      </c>
      <c r="O16" s="1">
        <f>ROUNDUP(IF(BOITE[[#This Row],[Libellé]]=  "800 GR",BOITE[[#This Row],[BENI TAMOU]]/1716,IF(BOITE[[#This Row],[Libellé]]=  "400 GR",BOITE[[#This Row],[BENI TAMOU]]/3456,BOITE[[#This Row],[BENI TAMOU]]/4800)),0)</f>
        <v>0</v>
      </c>
      <c r="P16"/>
      <c r="Q16"/>
      <c r="R16"/>
    </row>
    <row r="17" spans="1:18" hidden="1" x14ac:dyDescent="0.35">
      <c r="A17" t="s">
        <v>65</v>
      </c>
      <c r="B17" t="s">
        <v>313</v>
      </c>
      <c r="C17" t="s">
        <v>87</v>
      </c>
      <c r="D17" t="s">
        <v>188</v>
      </c>
      <c r="E17" t="s">
        <v>88</v>
      </c>
      <c r="F17" t="s">
        <v>89</v>
      </c>
      <c r="G17">
        <v>0</v>
      </c>
      <c r="K17" t="s">
        <v>181</v>
      </c>
      <c r="M17" s="1" t="e">
        <f>ROUNDUP(IF(#REF!=  "800 GR",BOITE[[#This Row],[MC CONSERVERIE]]/1716,IF(#REF!=  "400 GR",BOITE[[#This Row],[MC CONSERVERIE]]/3456,BOITE[[#This Row],[MC CONSERVERIE]]/4800)),0)</f>
        <v>#REF!</v>
      </c>
      <c r="N17" s="1">
        <f>ROUNDUP(IF(BOITE[[#This Row],[Code]]=  "800 GR",BOITE[[#This Row],[BENI TAMOU]]/1716,IF(BOITE[[#This Row],[Code]]=  "400 GR",BOITE[[#This Row],[BENI TAMOU]]/3456,BOITE[[#This Row],[BENI TAMOU]]/4800)),0)</f>
        <v>0</v>
      </c>
      <c r="O17" s="1">
        <f>ROUNDUP(IF(BOITE[[#This Row],[Libellé]]=  "800 GR",BOITE[[#This Row],[BENI TAMOU]]/1716,IF(BOITE[[#This Row],[Libellé]]=  "400 GR",BOITE[[#This Row],[BENI TAMOU]]/3456,BOITE[[#This Row],[BENI TAMOU]]/4800)),0)</f>
        <v>0</v>
      </c>
      <c r="P17"/>
      <c r="Q17"/>
      <c r="R17"/>
    </row>
    <row r="18" spans="1:18" hidden="1" x14ac:dyDescent="0.35">
      <c r="A18" t="s">
        <v>65</v>
      </c>
      <c r="B18" t="s">
        <v>313</v>
      </c>
      <c r="C18" t="s">
        <v>66</v>
      </c>
      <c r="D18" t="s">
        <v>187</v>
      </c>
      <c r="E18" t="s">
        <v>71</v>
      </c>
      <c r="F18" t="s">
        <v>72</v>
      </c>
      <c r="G18">
        <v>67548</v>
      </c>
      <c r="K18" t="s">
        <v>181</v>
      </c>
      <c r="M18" s="1" t="e">
        <f>ROUNDUP(IF(#REF!=  "800 GR",BOITE[[#This Row],[MC CONSERVERIE]]/1716,IF(#REF!=  "400 GR",BOITE[[#This Row],[MC CONSERVERIE]]/3456,BOITE[[#This Row],[MC CONSERVERIE]]/4800)),0)</f>
        <v>#REF!</v>
      </c>
      <c r="N18" s="1">
        <f>ROUNDUP(IF(BOITE[[#This Row],[Code]]=  "800 GR",BOITE[[#This Row],[BENI TAMOU]]/1716,IF(BOITE[[#This Row],[Code]]=  "400 GR",BOITE[[#This Row],[BENI TAMOU]]/3456,BOITE[[#This Row],[BENI TAMOU]]/4800)),0)</f>
        <v>0</v>
      </c>
      <c r="O18" s="1">
        <f>ROUNDUP(IF(BOITE[[#This Row],[Libellé]]=  "800 GR",BOITE[[#This Row],[BENI TAMOU]]/1716,IF(BOITE[[#This Row],[Libellé]]=  "400 GR",BOITE[[#This Row],[BENI TAMOU]]/3456,BOITE[[#This Row],[BENI TAMOU]]/4800)),0)</f>
        <v>0</v>
      </c>
      <c r="P18"/>
      <c r="Q18"/>
      <c r="R18"/>
    </row>
    <row r="19" spans="1:18" hidden="1" x14ac:dyDescent="0.35">
      <c r="A19" t="s">
        <v>65</v>
      </c>
      <c r="B19" t="s">
        <v>313</v>
      </c>
      <c r="C19" t="s">
        <v>66</v>
      </c>
      <c r="D19" t="s">
        <v>188</v>
      </c>
      <c r="E19" t="s">
        <v>85</v>
      </c>
      <c r="F19" t="s">
        <v>86</v>
      </c>
      <c r="G19">
        <v>950</v>
      </c>
      <c r="K19" t="s">
        <v>181</v>
      </c>
      <c r="M19" s="1" t="e">
        <f>ROUNDUP(IF(#REF!=  "800 GR",BOITE[[#This Row],[MC CONSERVERIE]]/1716,IF(#REF!=  "400 GR",BOITE[[#This Row],[MC CONSERVERIE]]/3456,BOITE[[#This Row],[MC CONSERVERIE]]/4800)),0)</f>
        <v>#REF!</v>
      </c>
      <c r="N19" s="1">
        <f>ROUNDUP(IF(BOITE[[#This Row],[Code]]=  "800 GR",BOITE[[#This Row],[BENI TAMOU]]/1716,IF(BOITE[[#This Row],[Code]]=  "400 GR",BOITE[[#This Row],[BENI TAMOU]]/3456,BOITE[[#This Row],[BENI TAMOU]]/4800)),0)</f>
        <v>0</v>
      </c>
      <c r="O19" s="1">
        <f>ROUNDUP(IF(BOITE[[#This Row],[Libellé]]=  "800 GR",BOITE[[#This Row],[BENI TAMOU]]/1716,IF(BOITE[[#This Row],[Libellé]]=  "400 GR",BOITE[[#This Row],[BENI TAMOU]]/3456,BOITE[[#This Row],[BENI TAMOU]]/4800)),0)</f>
        <v>0</v>
      </c>
      <c r="P19"/>
      <c r="Q19"/>
      <c r="R19"/>
    </row>
    <row r="20" spans="1:18" hidden="1" x14ac:dyDescent="0.35">
      <c r="A20" t="s">
        <v>65</v>
      </c>
      <c r="B20" t="s">
        <v>313</v>
      </c>
      <c r="C20" t="s">
        <v>64</v>
      </c>
      <c r="D20" t="s">
        <v>188</v>
      </c>
      <c r="E20" t="s">
        <v>170</v>
      </c>
      <c r="F20" t="s">
        <v>171</v>
      </c>
      <c r="G20">
        <v>0</v>
      </c>
      <c r="K20" t="s">
        <v>181</v>
      </c>
      <c r="M20" s="1" t="e">
        <f>ROUNDUP(IF(#REF!=  "800 GR",BOITE[[#This Row],[MC CONSERVERIE]]/1716,IF(#REF!=  "400 GR",BOITE[[#This Row],[MC CONSERVERIE]]/3456,BOITE[[#This Row],[MC CONSERVERIE]]/4800)),0)</f>
        <v>#REF!</v>
      </c>
      <c r="N20" s="1">
        <f>ROUNDUP(IF(BOITE[[#This Row],[Code]]=  "800 GR",BOITE[[#This Row],[BENI TAMOU]]/1716,IF(BOITE[[#This Row],[Code]]=  "400 GR",BOITE[[#This Row],[BENI TAMOU]]/3456,BOITE[[#This Row],[BENI TAMOU]]/4800)),0)</f>
        <v>0</v>
      </c>
      <c r="O20" s="1">
        <f>ROUNDUP(IF(BOITE[[#This Row],[Libellé]]=  "800 GR",BOITE[[#This Row],[BENI TAMOU]]/1716,IF(BOITE[[#This Row],[Libellé]]=  "400 GR",BOITE[[#This Row],[BENI TAMOU]]/3456,BOITE[[#This Row],[BENI TAMOU]]/4800)),0)</f>
        <v>0</v>
      </c>
      <c r="P20"/>
      <c r="Q20"/>
      <c r="R20"/>
    </row>
    <row r="21" spans="1:18" hidden="1" x14ac:dyDescent="0.35">
      <c r="A21" t="s">
        <v>65</v>
      </c>
      <c r="B21" t="s">
        <v>313</v>
      </c>
      <c r="C21" t="s">
        <v>64</v>
      </c>
      <c r="D21" t="s">
        <v>187</v>
      </c>
      <c r="E21" t="s">
        <v>81</v>
      </c>
      <c r="F21" t="s">
        <v>82</v>
      </c>
      <c r="G21">
        <v>0</v>
      </c>
      <c r="K21" t="s">
        <v>181</v>
      </c>
      <c r="M21" s="1" t="e">
        <f>ROUNDUP(IF(#REF!=  "800 GR",BOITE[[#This Row],[MC CONSERVERIE]]/1716,IF(#REF!=  "400 GR",BOITE[[#This Row],[MC CONSERVERIE]]/3456,BOITE[[#This Row],[MC CONSERVERIE]]/4800)),0)</f>
        <v>#REF!</v>
      </c>
      <c r="N21" s="1">
        <f>ROUNDUP(IF(BOITE[[#This Row],[Code]]=  "800 GR",BOITE[[#This Row],[BENI TAMOU]]/1716,IF(BOITE[[#This Row],[Code]]=  "400 GR",BOITE[[#This Row],[BENI TAMOU]]/3456,BOITE[[#This Row],[BENI TAMOU]]/4800)),0)</f>
        <v>0</v>
      </c>
      <c r="O21" s="1">
        <f>ROUNDUP(IF(BOITE[[#This Row],[Libellé]]=  "800 GR",BOITE[[#This Row],[BENI TAMOU]]/1716,IF(BOITE[[#This Row],[Libellé]]=  "400 GR",BOITE[[#This Row],[BENI TAMOU]]/3456,BOITE[[#This Row],[BENI TAMOU]]/4800)),0)</f>
        <v>0</v>
      </c>
      <c r="P21"/>
      <c r="Q21"/>
      <c r="R21"/>
    </row>
    <row r="22" spans="1:18" x14ac:dyDescent="0.35">
      <c r="A22" t="s">
        <v>65</v>
      </c>
      <c r="B22" t="s">
        <v>314</v>
      </c>
      <c r="C22" t="s">
        <v>66</v>
      </c>
      <c r="D22" t="s">
        <v>187</v>
      </c>
      <c r="E22" t="s">
        <v>102</v>
      </c>
      <c r="F22" t="s">
        <v>103</v>
      </c>
      <c r="G22">
        <v>0</v>
      </c>
      <c r="K22" t="s">
        <v>181</v>
      </c>
      <c r="M22" s="1" t="e">
        <f>ROUNDUP(IF(#REF!=  "800 GR",BOITE[[#This Row],[MC CONSERVERIE]]/1716,IF(#REF!=  "400 GR",BOITE[[#This Row],[MC CONSERVERIE]]/3456,BOITE[[#This Row],[MC CONSERVERIE]]/4800)),0)</f>
        <v>#REF!</v>
      </c>
      <c r="N22" s="1">
        <f>ROUNDUP(IF(BOITE[[#This Row],[Code]]=  "800 GR",BOITE[[#This Row],[BENI TAMOU]]/1716,IF(BOITE[[#This Row],[Code]]=  "400 GR",BOITE[[#This Row],[BENI TAMOU]]/3456,BOITE[[#This Row],[BENI TAMOU]]/4800)),0)</f>
        <v>0</v>
      </c>
      <c r="O22" s="1">
        <f>ROUNDUP(IF(BOITE[[#This Row],[Libellé]]=  "800 GR",BOITE[[#This Row],[BENI TAMOU]]/1716,IF(BOITE[[#This Row],[Libellé]]=  "400 GR",BOITE[[#This Row],[BENI TAMOU]]/3456,BOITE[[#This Row],[BENI TAMOU]]/4800)),0)</f>
        <v>0</v>
      </c>
      <c r="P22"/>
      <c r="Q22"/>
      <c r="R22"/>
    </row>
    <row r="23" spans="1:18" hidden="1" x14ac:dyDescent="0.35">
      <c r="A23" t="s">
        <v>65</v>
      </c>
      <c r="B23" t="s">
        <v>313</v>
      </c>
      <c r="C23" t="s">
        <v>64</v>
      </c>
      <c r="D23" t="s">
        <v>187</v>
      </c>
      <c r="E23" t="s">
        <v>94</v>
      </c>
      <c r="F23" t="s">
        <v>95</v>
      </c>
      <c r="G23">
        <v>0</v>
      </c>
      <c r="K23" t="s">
        <v>181</v>
      </c>
      <c r="M23" s="1" t="e">
        <f>ROUNDUP(IF(#REF!=  "800 GR",BOITE[[#This Row],[MC CONSERVERIE]]/1716,IF(#REF!=  "400 GR",BOITE[[#This Row],[MC CONSERVERIE]]/3456,BOITE[[#This Row],[MC CONSERVERIE]]/4800)),0)</f>
        <v>#REF!</v>
      </c>
      <c r="N23" s="1">
        <f>ROUNDUP(IF(BOITE[[#This Row],[Code]]=  "800 GR",BOITE[[#This Row],[BENI TAMOU]]/1716,IF(BOITE[[#This Row],[Code]]=  "400 GR",BOITE[[#This Row],[BENI TAMOU]]/3456,BOITE[[#This Row],[BENI TAMOU]]/4800)),0)</f>
        <v>0</v>
      </c>
      <c r="O23" s="1">
        <f>ROUNDUP(IF(BOITE[[#This Row],[Libellé]]=  "800 GR",BOITE[[#This Row],[BENI TAMOU]]/1716,IF(BOITE[[#This Row],[Libellé]]=  "400 GR",BOITE[[#This Row],[BENI TAMOU]]/3456,BOITE[[#This Row],[BENI TAMOU]]/4800)),0)</f>
        <v>0</v>
      </c>
      <c r="P23"/>
      <c r="Q23"/>
      <c r="R23"/>
    </row>
    <row r="24" spans="1:18" hidden="1" x14ac:dyDescent="0.35">
      <c r="A24" t="s">
        <v>65</v>
      </c>
      <c r="B24" t="s">
        <v>313</v>
      </c>
      <c r="C24" t="s">
        <v>66</v>
      </c>
      <c r="D24" t="s">
        <v>188</v>
      </c>
      <c r="E24" t="s">
        <v>176</v>
      </c>
      <c r="F24" t="s">
        <v>177</v>
      </c>
      <c r="G24">
        <v>0</v>
      </c>
      <c r="K24" t="s">
        <v>181</v>
      </c>
      <c r="M24" s="1" t="e">
        <f>ROUNDUP(IF(#REF!=  "800 GR",BOITE[[#This Row],[MC CONSERVERIE]]/1716,IF(#REF!=  "400 GR",BOITE[[#This Row],[MC CONSERVERIE]]/3456,BOITE[[#This Row],[MC CONSERVERIE]]/4800)),0)</f>
        <v>#REF!</v>
      </c>
      <c r="N24" s="1">
        <f>ROUNDUP(IF(BOITE[[#This Row],[Code]]=  "800 GR",BOITE[[#This Row],[BENI TAMOU]]/1716,IF(BOITE[[#This Row],[Code]]=  "400 GR",BOITE[[#This Row],[BENI TAMOU]]/3456,BOITE[[#This Row],[BENI TAMOU]]/4800)),0)</f>
        <v>0</v>
      </c>
      <c r="O24" s="1">
        <f>ROUNDUP(IF(BOITE[[#This Row],[Libellé]]=  "800 GR",BOITE[[#This Row],[BENI TAMOU]]/1716,IF(BOITE[[#This Row],[Libellé]]=  "400 GR",BOITE[[#This Row],[BENI TAMOU]]/3456,BOITE[[#This Row],[BENI TAMOU]]/4800)),0)</f>
        <v>0</v>
      </c>
      <c r="P24"/>
      <c r="Q24"/>
      <c r="R24"/>
    </row>
    <row r="25" spans="1:18" hidden="1" x14ac:dyDescent="0.35">
      <c r="A25" t="s">
        <v>65</v>
      </c>
      <c r="B25" t="s">
        <v>313</v>
      </c>
      <c r="C25" t="s">
        <v>64</v>
      </c>
      <c r="D25" t="s">
        <v>188</v>
      </c>
      <c r="E25" t="s">
        <v>75</v>
      </c>
      <c r="F25" t="s">
        <v>76</v>
      </c>
      <c r="G25">
        <v>2400</v>
      </c>
      <c r="K25" t="s">
        <v>181</v>
      </c>
      <c r="M25" s="1" t="e">
        <f>ROUNDUP(IF(#REF!=  "800 GR",BOITE[[#This Row],[MC CONSERVERIE]]/1716,IF(#REF!=  "400 GR",BOITE[[#This Row],[MC CONSERVERIE]]/3456,BOITE[[#This Row],[MC CONSERVERIE]]/4800)),0)</f>
        <v>#REF!</v>
      </c>
      <c r="N25" s="1">
        <f>ROUNDUP(IF(BOITE[[#This Row],[Code]]=  "800 GR",BOITE[[#This Row],[BENI TAMOU]]/1716,IF(BOITE[[#This Row],[Code]]=  "400 GR",BOITE[[#This Row],[BENI TAMOU]]/3456,BOITE[[#This Row],[BENI TAMOU]]/4800)),0)</f>
        <v>0</v>
      </c>
      <c r="O25" s="1">
        <f>ROUNDUP(IF(BOITE[[#This Row],[Libellé]]=  "800 GR",BOITE[[#This Row],[BENI TAMOU]]/1716,IF(BOITE[[#This Row],[Libellé]]=  "400 GR",BOITE[[#This Row],[BENI TAMOU]]/3456,BOITE[[#This Row],[BENI TAMOU]]/4800)),0)</f>
        <v>0</v>
      </c>
      <c r="P25"/>
      <c r="Q25"/>
      <c r="R25"/>
    </row>
    <row r="26" spans="1:18" hidden="1" x14ac:dyDescent="0.35">
      <c r="A26" t="s">
        <v>65</v>
      </c>
      <c r="B26" t="s">
        <v>313</v>
      </c>
      <c r="C26" t="s">
        <v>66</v>
      </c>
      <c r="D26" t="s">
        <v>188</v>
      </c>
      <c r="E26" t="s">
        <v>160</v>
      </c>
      <c r="F26" t="s">
        <v>161</v>
      </c>
      <c r="G26">
        <v>69620</v>
      </c>
      <c r="K26" t="s">
        <v>181</v>
      </c>
      <c r="M26" s="1" t="e">
        <f>ROUNDUP(IF(#REF!=  "800 GR",BOITE[[#This Row],[MC CONSERVERIE]]/1716,IF(#REF!=  "400 GR",BOITE[[#This Row],[MC CONSERVERIE]]/3456,BOITE[[#This Row],[MC CONSERVERIE]]/4800)),0)</f>
        <v>#REF!</v>
      </c>
      <c r="N26" s="1">
        <f>ROUNDUP(IF(BOITE[[#This Row],[Code]]=  "800 GR",BOITE[[#This Row],[BENI TAMOU]]/1716,IF(BOITE[[#This Row],[Code]]=  "400 GR",BOITE[[#This Row],[BENI TAMOU]]/3456,BOITE[[#This Row],[BENI TAMOU]]/4800)),0)</f>
        <v>0</v>
      </c>
      <c r="O26" s="1">
        <f>ROUNDUP(IF(BOITE[[#This Row],[Libellé]]=  "800 GR",BOITE[[#This Row],[BENI TAMOU]]/1716,IF(BOITE[[#This Row],[Libellé]]=  "400 GR",BOITE[[#This Row],[BENI TAMOU]]/3456,BOITE[[#This Row],[BENI TAMOU]]/4800)),0)</f>
        <v>0</v>
      </c>
      <c r="P26"/>
      <c r="Q26"/>
      <c r="R26"/>
    </row>
    <row r="27" spans="1:18" hidden="1" x14ac:dyDescent="0.35">
      <c r="A27" t="s">
        <v>65</v>
      </c>
      <c r="B27" t="s">
        <v>313</v>
      </c>
      <c r="C27" t="s">
        <v>64</v>
      </c>
      <c r="D27" t="s">
        <v>188</v>
      </c>
      <c r="E27" t="s">
        <v>77</v>
      </c>
      <c r="F27" t="s">
        <v>78</v>
      </c>
      <c r="G27">
        <v>63793</v>
      </c>
      <c r="K27" t="s">
        <v>181</v>
      </c>
      <c r="M27" s="1" t="e">
        <f>ROUNDUP(IF(#REF!=  "800 GR",BOITE[[#This Row],[MC CONSERVERIE]]/1716,IF(#REF!=  "400 GR",BOITE[[#This Row],[MC CONSERVERIE]]/3456,BOITE[[#This Row],[MC CONSERVERIE]]/4800)),0)</f>
        <v>#REF!</v>
      </c>
      <c r="N27" s="1">
        <f>ROUNDUP(IF(BOITE[[#This Row],[Code]]=  "800 GR",BOITE[[#This Row],[BENI TAMOU]]/1716,IF(BOITE[[#This Row],[Code]]=  "400 GR",BOITE[[#This Row],[BENI TAMOU]]/3456,BOITE[[#This Row],[BENI TAMOU]]/4800)),0)</f>
        <v>0</v>
      </c>
      <c r="O27" s="1">
        <f>ROUNDUP(IF(BOITE[[#This Row],[Libellé]]=  "800 GR",BOITE[[#This Row],[BENI TAMOU]]/1716,IF(BOITE[[#This Row],[Libellé]]=  "400 GR",BOITE[[#This Row],[BENI TAMOU]]/3456,BOITE[[#This Row],[BENI TAMOU]]/4800)),0)</f>
        <v>0</v>
      </c>
      <c r="P27"/>
      <c r="Q27"/>
      <c r="R27"/>
    </row>
    <row r="28" spans="1:18" hidden="1" x14ac:dyDescent="0.35">
      <c r="A28" t="s">
        <v>65</v>
      </c>
      <c r="B28" t="s">
        <v>313</v>
      </c>
      <c r="C28" t="s">
        <v>66</v>
      </c>
      <c r="D28" t="s">
        <v>188</v>
      </c>
      <c r="E28" t="s">
        <v>96</v>
      </c>
      <c r="F28" t="s">
        <v>97</v>
      </c>
      <c r="G28">
        <v>0</v>
      </c>
      <c r="K28" t="s">
        <v>181</v>
      </c>
      <c r="M28" s="1" t="e">
        <f>ROUNDUP(IF(#REF!=  "800 GR",BOITE[[#This Row],[MC CONSERVERIE]]/1716,IF(#REF!=  "400 GR",BOITE[[#This Row],[MC CONSERVERIE]]/3456,BOITE[[#This Row],[MC CONSERVERIE]]/4800)),0)</f>
        <v>#REF!</v>
      </c>
      <c r="N28" s="1">
        <f>ROUNDUP(IF(BOITE[[#This Row],[Code]]=  "800 GR",BOITE[[#This Row],[BENI TAMOU]]/1716,IF(BOITE[[#This Row],[Code]]=  "400 GR",BOITE[[#This Row],[BENI TAMOU]]/3456,BOITE[[#This Row],[BENI TAMOU]]/4800)),0)</f>
        <v>0</v>
      </c>
      <c r="O28" s="1">
        <f>ROUNDUP(IF(BOITE[[#This Row],[Libellé]]=  "800 GR",BOITE[[#This Row],[BENI TAMOU]]/1716,IF(BOITE[[#This Row],[Libellé]]=  "400 GR",BOITE[[#This Row],[BENI TAMOU]]/3456,BOITE[[#This Row],[BENI TAMOU]]/4800)),0)</f>
        <v>0</v>
      </c>
      <c r="P28"/>
      <c r="Q28"/>
      <c r="R28"/>
    </row>
  </sheetData>
  <phoneticPr fontId="6" type="noConversion"/>
  <conditionalFormatting sqref="S5:S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:S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T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:T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:T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BF3E-903C-4E00-82D6-F605EED551BF}">
  <dimension ref="A1:I53"/>
  <sheetViews>
    <sheetView workbookViewId="0">
      <selection activeCell="E11" sqref="E11"/>
    </sheetView>
  </sheetViews>
  <sheetFormatPr baseColWidth="10" defaultRowHeight="15" x14ac:dyDescent="0.25"/>
  <cols>
    <col min="1" max="1" width="19.5703125" customWidth="1"/>
    <col min="2" max="2" width="16.42578125" customWidth="1"/>
    <col min="5" max="5" width="44.28515625" customWidth="1"/>
    <col min="6" max="6" width="30.140625" customWidth="1"/>
    <col min="7" max="7" width="18.7109375" customWidth="1"/>
    <col min="8" max="8" width="45.7109375" customWidth="1"/>
  </cols>
  <sheetData>
    <row r="1" spans="1:9" x14ac:dyDescent="0.25">
      <c r="A1" s="20" t="s">
        <v>0</v>
      </c>
      <c r="B1" s="17" t="s">
        <v>310</v>
      </c>
      <c r="C1" s="17" t="s">
        <v>1</v>
      </c>
      <c r="D1" s="17" t="s">
        <v>2</v>
      </c>
      <c r="E1" s="17" t="s">
        <v>3</v>
      </c>
      <c r="F1" s="21" t="s">
        <v>401</v>
      </c>
      <c r="G1" s="21" t="s">
        <v>406</v>
      </c>
      <c r="H1" s="21" t="s">
        <v>403</v>
      </c>
      <c r="I1" s="21" t="s">
        <v>404</v>
      </c>
    </row>
    <row r="2" spans="1:9" x14ac:dyDescent="0.25">
      <c r="A2" s="18" t="s">
        <v>7</v>
      </c>
      <c r="B2" s="13" t="s">
        <v>64</v>
      </c>
      <c r="C2" s="13" t="s">
        <v>188</v>
      </c>
      <c r="D2" s="13" t="s">
        <v>8</v>
      </c>
      <c r="E2" s="13" t="s">
        <v>9</v>
      </c>
      <c r="F2" s="22" t="s">
        <v>402</v>
      </c>
      <c r="G2" s="13" t="s">
        <v>110</v>
      </c>
      <c r="H2" s="13" t="s">
        <v>111</v>
      </c>
      <c r="I2">
        <f>1/24</f>
        <v>4.1666666666666664E-2</v>
      </c>
    </row>
    <row r="3" spans="1:9" x14ac:dyDescent="0.25">
      <c r="A3" s="19" t="s">
        <v>7</v>
      </c>
      <c r="B3" s="14" t="s">
        <v>64</v>
      </c>
      <c r="C3" s="14" t="s">
        <v>187</v>
      </c>
      <c r="D3" s="14" t="s">
        <v>10</v>
      </c>
      <c r="E3" s="14" t="s">
        <v>11</v>
      </c>
      <c r="F3" t="s">
        <v>402</v>
      </c>
      <c r="G3" s="14" t="s">
        <v>112</v>
      </c>
      <c r="H3" s="14" t="s">
        <v>113</v>
      </c>
      <c r="I3">
        <f t="shared" ref="I3" si="0">1/12</f>
        <v>8.3333333333333329E-2</v>
      </c>
    </row>
    <row r="4" spans="1:9" x14ac:dyDescent="0.25">
      <c r="A4" s="18" t="s">
        <v>7</v>
      </c>
      <c r="B4" s="13" t="s">
        <v>66</v>
      </c>
      <c r="C4" s="13" t="s">
        <v>188</v>
      </c>
      <c r="D4" s="13" t="s">
        <v>12</v>
      </c>
      <c r="E4" s="13" t="s">
        <v>13</v>
      </c>
      <c r="F4" s="22" t="s">
        <v>402</v>
      </c>
      <c r="G4" s="13" t="s">
        <v>106</v>
      </c>
      <c r="H4" s="13" t="s">
        <v>107</v>
      </c>
      <c r="I4">
        <f>1/24</f>
        <v>4.1666666666666664E-2</v>
      </c>
    </row>
    <row r="5" spans="1:9" x14ac:dyDescent="0.25">
      <c r="A5" s="19" t="s">
        <v>7</v>
      </c>
      <c r="B5" s="14" t="s">
        <v>66</v>
      </c>
      <c r="C5" s="14" t="s">
        <v>187</v>
      </c>
      <c r="D5" s="14" t="s">
        <v>14</v>
      </c>
      <c r="E5" s="14" t="s">
        <v>15</v>
      </c>
      <c r="F5" t="s">
        <v>402</v>
      </c>
      <c r="G5" s="13" t="s">
        <v>108</v>
      </c>
      <c r="H5" s="13" t="s">
        <v>109</v>
      </c>
      <c r="I5">
        <f t="shared" ref="I5" si="1">1/12</f>
        <v>8.3333333333333329E-2</v>
      </c>
    </row>
    <row r="6" spans="1:9" x14ac:dyDescent="0.25">
      <c r="A6" s="18" t="s">
        <v>7</v>
      </c>
      <c r="B6" s="13" t="s">
        <v>66</v>
      </c>
      <c r="C6" s="13" t="s">
        <v>188</v>
      </c>
      <c r="D6" s="13" t="s">
        <v>16</v>
      </c>
      <c r="E6" s="13" t="s">
        <v>17</v>
      </c>
      <c r="F6" s="22" t="s">
        <v>402</v>
      </c>
      <c r="G6" s="14" t="s">
        <v>138</v>
      </c>
      <c r="H6" s="14" t="s">
        <v>139</v>
      </c>
      <c r="I6">
        <f t="shared" ref="I6:I9" si="2">1/24</f>
        <v>4.1666666666666664E-2</v>
      </c>
    </row>
    <row r="7" spans="1:9" x14ac:dyDescent="0.25">
      <c r="A7" s="19" t="s">
        <v>7</v>
      </c>
      <c r="B7" s="14" t="s">
        <v>66</v>
      </c>
      <c r="C7" s="14" t="s">
        <v>188</v>
      </c>
      <c r="D7" s="14" t="s">
        <v>18</v>
      </c>
      <c r="E7" s="14" t="s">
        <v>19</v>
      </c>
      <c r="F7" s="22" t="s">
        <v>402</v>
      </c>
      <c r="G7" s="14" t="s">
        <v>116</v>
      </c>
      <c r="H7" s="14" t="s">
        <v>117</v>
      </c>
      <c r="I7">
        <f t="shared" si="2"/>
        <v>4.1666666666666664E-2</v>
      </c>
    </row>
    <row r="8" spans="1:9" x14ac:dyDescent="0.25">
      <c r="A8" s="18" t="s">
        <v>7</v>
      </c>
      <c r="B8" s="13" t="s">
        <v>66</v>
      </c>
      <c r="C8" s="13" t="s">
        <v>188</v>
      </c>
      <c r="D8" s="13" t="s">
        <v>20</v>
      </c>
      <c r="E8" s="13" t="s">
        <v>21</v>
      </c>
      <c r="F8" s="22" t="s">
        <v>402</v>
      </c>
      <c r="G8" s="13" t="s">
        <v>118</v>
      </c>
      <c r="H8" s="13" t="s">
        <v>119</v>
      </c>
      <c r="I8">
        <f t="shared" si="2"/>
        <v>4.1666666666666664E-2</v>
      </c>
    </row>
    <row r="9" spans="1:9" x14ac:dyDescent="0.25">
      <c r="A9" s="19" t="s">
        <v>7</v>
      </c>
      <c r="B9" s="14" t="s">
        <v>66</v>
      </c>
      <c r="C9" s="14" t="s">
        <v>188</v>
      </c>
      <c r="D9" s="14" t="s">
        <v>22</v>
      </c>
      <c r="E9" s="14" t="s">
        <v>23</v>
      </c>
      <c r="F9" s="22" t="s">
        <v>402</v>
      </c>
      <c r="G9" s="13" t="s">
        <v>140</v>
      </c>
      <c r="H9" s="13" t="s">
        <v>141</v>
      </c>
      <c r="I9">
        <f t="shared" si="2"/>
        <v>4.1666666666666664E-2</v>
      </c>
    </row>
    <row r="10" spans="1:9" x14ac:dyDescent="0.25">
      <c r="A10" s="18" t="s">
        <v>7</v>
      </c>
      <c r="B10" s="13" t="s">
        <v>64</v>
      </c>
      <c r="C10" s="13" t="s">
        <v>189</v>
      </c>
      <c r="D10" s="13" t="s">
        <v>24</v>
      </c>
      <c r="E10" s="13" t="s">
        <v>25</v>
      </c>
      <c r="F10" s="22" t="s">
        <v>402</v>
      </c>
      <c r="G10" s="13" t="s">
        <v>130</v>
      </c>
      <c r="H10" s="13" t="s">
        <v>131</v>
      </c>
      <c r="I10">
        <f>1/40</f>
        <v>2.5000000000000001E-2</v>
      </c>
    </row>
    <row r="11" spans="1:9" x14ac:dyDescent="0.25">
      <c r="A11" s="18" t="s">
        <v>7</v>
      </c>
      <c r="B11" s="13" t="s">
        <v>64</v>
      </c>
      <c r="C11" s="13" t="s">
        <v>188</v>
      </c>
      <c r="D11" s="13" t="s">
        <v>28</v>
      </c>
      <c r="E11" s="13" t="s">
        <v>29</v>
      </c>
      <c r="F11" s="22" t="s">
        <v>402</v>
      </c>
      <c r="G11" s="14" t="s">
        <v>124</v>
      </c>
      <c r="H11" s="14" t="s">
        <v>125</v>
      </c>
      <c r="I11">
        <f>1/24</f>
        <v>4.1666666666666664E-2</v>
      </c>
    </row>
    <row r="12" spans="1:9" x14ac:dyDescent="0.25">
      <c r="A12" s="19" t="s">
        <v>7</v>
      </c>
      <c r="B12" s="14" t="s">
        <v>64</v>
      </c>
      <c r="C12" s="14" t="s">
        <v>187</v>
      </c>
      <c r="D12" s="14" t="s">
        <v>30</v>
      </c>
      <c r="E12" s="14" t="s">
        <v>31</v>
      </c>
      <c r="F12" t="s">
        <v>402</v>
      </c>
      <c r="G12" s="13" t="s">
        <v>104</v>
      </c>
      <c r="H12" s="13" t="s">
        <v>105</v>
      </c>
      <c r="I12">
        <f t="shared" ref="I12:I19" si="3">1/12</f>
        <v>8.3333333333333329E-2</v>
      </c>
    </row>
    <row r="13" spans="1:9" x14ac:dyDescent="0.25">
      <c r="A13" s="18" t="s">
        <v>7</v>
      </c>
      <c r="B13" s="13" t="s">
        <v>87</v>
      </c>
      <c r="C13" s="13" t="s">
        <v>189</v>
      </c>
      <c r="D13" s="13" t="s">
        <v>32</v>
      </c>
      <c r="E13" s="13" t="s">
        <v>33</v>
      </c>
      <c r="F13" s="22" t="s">
        <v>402</v>
      </c>
      <c r="G13" s="13" t="s">
        <v>134</v>
      </c>
      <c r="H13" s="13" t="s">
        <v>135</v>
      </c>
      <c r="I13">
        <f>1/40</f>
        <v>2.5000000000000001E-2</v>
      </c>
    </row>
    <row r="14" spans="1:9" x14ac:dyDescent="0.25">
      <c r="A14" s="19" t="s">
        <v>7</v>
      </c>
      <c r="B14" s="14" t="s">
        <v>87</v>
      </c>
      <c r="C14" s="14" t="s">
        <v>187</v>
      </c>
      <c r="D14" s="14" t="s">
        <v>34</v>
      </c>
      <c r="E14" s="14" t="s">
        <v>35</v>
      </c>
      <c r="F14" t="s">
        <v>402</v>
      </c>
      <c r="G14" s="13" t="s">
        <v>132</v>
      </c>
      <c r="H14" s="13" t="s">
        <v>133</v>
      </c>
      <c r="I14">
        <f t="shared" si="3"/>
        <v>8.3333333333333329E-2</v>
      </c>
    </row>
    <row r="15" spans="1:9" x14ac:dyDescent="0.25">
      <c r="A15" s="18" t="s">
        <v>7</v>
      </c>
      <c r="B15" s="13" t="s">
        <v>87</v>
      </c>
      <c r="C15" s="13" t="s">
        <v>188</v>
      </c>
      <c r="D15" s="13" t="s">
        <v>36</v>
      </c>
      <c r="E15" s="13" t="s">
        <v>37</v>
      </c>
      <c r="F15" s="22" t="s">
        <v>402</v>
      </c>
      <c r="G15" s="13" t="s">
        <v>136</v>
      </c>
      <c r="H15" s="13" t="s">
        <v>137</v>
      </c>
      <c r="I15">
        <f>1/24</f>
        <v>4.1666666666666664E-2</v>
      </c>
    </row>
    <row r="16" spans="1:9" x14ac:dyDescent="0.25">
      <c r="A16" s="19" t="s">
        <v>38</v>
      </c>
      <c r="B16" s="14" t="s">
        <v>66</v>
      </c>
      <c r="C16" s="14" t="s">
        <v>187</v>
      </c>
      <c r="D16" s="14" t="s">
        <v>39</v>
      </c>
      <c r="E16" s="14" t="s">
        <v>40</v>
      </c>
      <c r="F16" s="22" t="s">
        <v>402</v>
      </c>
      <c r="G16" s="13" t="s">
        <v>114</v>
      </c>
      <c r="H16" s="13" t="s">
        <v>115</v>
      </c>
      <c r="I16">
        <f t="shared" si="3"/>
        <v>8.3333333333333329E-2</v>
      </c>
    </row>
    <row r="17" spans="1:9" x14ac:dyDescent="0.25">
      <c r="A17" s="18" t="s">
        <v>38</v>
      </c>
      <c r="B17" s="13" t="s">
        <v>64</v>
      </c>
      <c r="C17" s="13" t="s">
        <v>187</v>
      </c>
      <c r="D17" s="13" t="s">
        <v>41</v>
      </c>
      <c r="E17" s="13" t="s">
        <v>42</v>
      </c>
      <c r="F17" s="22" t="s">
        <v>402</v>
      </c>
      <c r="G17" s="13" t="s">
        <v>126</v>
      </c>
      <c r="H17" s="13" t="s">
        <v>127</v>
      </c>
      <c r="I17">
        <f t="shared" si="3"/>
        <v>8.3333333333333329E-2</v>
      </c>
    </row>
    <row r="18" spans="1:9" x14ac:dyDescent="0.25">
      <c r="A18" s="19" t="s">
        <v>38</v>
      </c>
      <c r="B18" s="14" t="s">
        <v>66</v>
      </c>
      <c r="C18" s="14" t="s">
        <v>187</v>
      </c>
      <c r="D18" s="14" t="s">
        <v>43</v>
      </c>
      <c r="E18" s="14" t="s">
        <v>44</v>
      </c>
      <c r="F18" s="22" t="s">
        <v>402</v>
      </c>
      <c r="G18" s="13" t="s">
        <v>122</v>
      </c>
      <c r="H18" s="13" t="s">
        <v>123</v>
      </c>
      <c r="I18">
        <f t="shared" si="3"/>
        <v>8.3333333333333329E-2</v>
      </c>
    </row>
    <row r="19" spans="1:9" x14ac:dyDescent="0.25">
      <c r="A19" s="18" t="s">
        <v>38</v>
      </c>
      <c r="B19" s="13" t="s">
        <v>66</v>
      </c>
      <c r="C19" s="13" t="s">
        <v>187</v>
      </c>
      <c r="D19" s="13" t="s">
        <v>45</v>
      </c>
      <c r="E19" s="13" t="s">
        <v>46</v>
      </c>
      <c r="F19" s="22" t="s">
        <v>402</v>
      </c>
      <c r="G19" s="14" t="s">
        <v>120</v>
      </c>
      <c r="H19" s="14" t="s">
        <v>121</v>
      </c>
      <c r="I19">
        <f t="shared" si="3"/>
        <v>8.3333333333333329E-2</v>
      </c>
    </row>
    <row r="20" spans="1:9" x14ac:dyDescent="0.25">
      <c r="A20" s="19" t="s">
        <v>7</v>
      </c>
      <c r="B20" s="14" t="s">
        <v>66</v>
      </c>
      <c r="C20" s="14" t="s">
        <v>188</v>
      </c>
      <c r="D20" s="14" t="s">
        <v>47</v>
      </c>
      <c r="E20" s="14" t="s">
        <v>48</v>
      </c>
      <c r="F20" s="22" t="s">
        <v>402</v>
      </c>
      <c r="G20" s="14" t="s">
        <v>144</v>
      </c>
      <c r="H20" s="14" t="s">
        <v>145</v>
      </c>
      <c r="I20">
        <f t="shared" ref="I20:I26" si="4">1/24</f>
        <v>4.1666666666666664E-2</v>
      </c>
    </row>
    <row r="21" spans="1:9" x14ac:dyDescent="0.25">
      <c r="A21" s="18" t="s">
        <v>7</v>
      </c>
      <c r="B21" s="13" t="s">
        <v>66</v>
      </c>
      <c r="C21" s="13" t="s">
        <v>188</v>
      </c>
      <c r="D21" s="13" t="s">
        <v>49</v>
      </c>
      <c r="E21" s="13" t="s">
        <v>50</v>
      </c>
      <c r="F21" s="22" t="s">
        <v>402</v>
      </c>
      <c r="G21" s="13" t="s">
        <v>148</v>
      </c>
      <c r="H21" s="13" t="s">
        <v>149</v>
      </c>
      <c r="I21">
        <f t="shared" si="4"/>
        <v>4.1666666666666664E-2</v>
      </c>
    </row>
    <row r="22" spans="1:9" x14ac:dyDescent="0.25">
      <c r="A22" s="19" t="s">
        <v>7</v>
      </c>
      <c r="B22" s="14" t="s">
        <v>66</v>
      </c>
      <c r="C22" s="14" t="s">
        <v>188</v>
      </c>
      <c r="D22" s="14" t="s">
        <v>51</v>
      </c>
      <c r="E22" s="14" t="s">
        <v>52</v>
      </c>
      <c r="F22" s="22" t="s">
        <v>402</v>
      </c>
      <c r="G22" s="14" t="s">
        <v>178</v>
      </c>
      <c r="H22" s="14" t="s">
        <v>179</v>
      </c>
      <c r="I22">
        <f t="shared" si="4"/>
        <v>4.1666666666666664E-2</v>
      </c>
    </row>
    <row r="23" spans="1:9" x14ac:dyDescent="0.25">
      <c r="A23" s="18" t="s">
        <v>7</v>
      </c>
      <c r="B23" s="13" t="s">
        <v>66</v>
      </c>
      <c r="C23" s="13" t="s">
        <v>188</v>
      </c>
      <c r="D23" s="13" t="s">
        <v>59</v>
      </c>
      <c r="E23" s="13" t="s">
        <v>60</v>
      </c>
      <c r="F23" s="22" t="s">
        <v>402</v>
      </c>
      <c r="G23" s="14" t="s">
        <v>158</v>
      </c>
      <c r="H23" s="14" t="s">
        <v>159</v>
      </c>
      <c r="I23">
        <f t="shared" si="4"/>
        <v>4.1666666666666664E-2</v>
      </c>
    </row>
    <row r="24" spans="1:9" x14ac:dyDescent="0.25">
      <c r="A24" s="19" t="s">
        <v>7</v>
      </c>
      <c r="B24" s="14" t="s">
        <v>66</v>
      </c>
      <c r="C24" s="14" t="s">
        <v>188</v>
      </c>
      <c r="D24" s="14" t="s">
        <v>53</v>
      </c>
      <c r="E24" s="14" t="s">
        <v>54</v>
      </c>
      <c r="F24" s="22" t="s">
        <v>402</v>
      </c>
      <c r="G24" s="14" t="s">
        <v>152</v>
      </c>
      <c r="H24" s="14" t="s">
        <v>153</v>
      </c>
      <c r="I24">
        <f t="shared" si="4"/>
        <v>4.1666666666666664E-2</v>
      </c>
    </row>
    <row r="25" spans="1:9" x14ac:dyDescent="0.25">
      <c r="A25" s="18" t="s">
        <v>7</v>
      </c>
      <c r="B25" s="13" t="s">
        <v>66</v>
      </c>
      <c r="C25" s="13" t="s">
        <v>188</v>
      </c>
      <c r="D25" s="13" t="s">
        <v>55</v>
      </c>
      <c r="E25" s="13" t="s">
        <v>56</v>
      </c>
      <c r="F25" s="22" t="s">
        <v>402</v>
      </c>
      <c r="G25" s="13" t="s">
        <v>164</v>
      </c>
      <c r="H25" s="13" t="s">
        <v>165</v>
      </c>
      <c r="I25">
        <f t="shared" si="4"/>
        <v>4.1666666666666664E-2</v>
      </c>
    </row>
    <row r="26" spans="1:9" x14ac:dyDescent="0.25">
      <c r="A26" s="19" t="s">
        <v>7</v>
      </c>
      <c r="B26" s="14" t="s">
        <v>66</v>
      </c>
      <c r="C26" s="14" t="s">
        <v>188</v>
      </c>
      <c r="D26" s="14" t="s">
        <v>57</v>
      </c>
      <c r="E26" s="14" t="s">
        <v>58</v>
      </c>
      <c r="F26" s="22" t="s">
        <v>402</v>
      </c>
      <c r="G26" s="13" t="s">
        <v>156</v>
      </c>
      <c r="H26" s="13" t="s">
        <v>157</v>
      </c>
      <c r="I26">
        <f t="shared" si="4"/>
        <v>4.1666666666666664E-2</v>
      </c>
    </row>
    <row r="27" spans="1:9" x14ac:dyDescent="0.25">
      <c r="A27" s="18" t="s">
        <v>7</v>
      </c>
      <c r="B27" s="13" t="s">
        <v>66</v>
      </c>
      <c r="C27" s="13" t="s">
        <v>187</v>
      </c>
      <c r="D27" s="13" t="s">
        <v>61</v>
      </c>
      <c r="E27" s="13" t="s">
        <v>62</v>
      </c>
      <c r="F27" s="22" t="s">
        <v>402</v>
      </c>
      <c r="G27" s="13" t="s">
        <v>108</v>
      </c>
      <c r="H27" s="13" t="s">
        <v>109</v>
      </c>
      <c r="I27">
        <f t="shared" ref="I27" si="5">1/12</f>
        <v>8.3333333333333329E-2</v>
      </c>
    </row>
    <row r="28" spans="1:9" x14ac:dyDescent="0.25">
      <c r="A28" s="18" t="s">
        <v>7</v>
      </c>
      <c r="B28" s="13" t="s">
        <v>64</v>
      </c>
      <c r="C28" s="13" t="s">
        <v>188</v>
      </c>
      <c r="D28" s="13" t="s">
        <v>8</v>
      </c>
      <c r="E28" s="13" t="s">
        <v>9</v>
      </c>
      <c r="F28" s="22" t="s">
        <v>405</v>
      </c>
      <c r="G28" s="13" t="s">
        <v>75</v>
      </c>
      <c r="H28" s="13" t="s">
        <v>76</v>
      </c>
    </row>
    <row r="29" spans="1:9" x14ac:dyDescent="0.25">
      <c r="A29" s="19" t="s">
        <v>7</v>
      </c>
      <c r="B29" s="14" t="s">
        <v>64</v>
      </c>
      <c r="C29" s="14" t="s">
        <v>187</v>
      </c>
      <c r="D29" s="14" t="s">
        <v>10</v>
      </c>
      <c r="E29" s="14" t="s">
        <v>11</v>
      </c>
      <c r="F29" t="s">
        <v>405</v>
      </c>
      <c r="G29" s="14" t="s">
        <v>94</v>
      </c>
      <c r="H29" s="14" t="s">
        <v>95</v>
      </c>
    </row>
    <row r="30" spans="1:9" x14ac:dyDescent="0.25">
      <c r="A30" s="18" t="s">
        <v>7</v>
      </c>
      <c r="B30" s="13" t="s">
        <v>66</v>
      </c>
      <c r="C30" s="13" t="s">
        <v>188</v>
      </c>
      <c r="D30" s="13" t="s">
        <v>12</v>
      </c>
      <c r="E30" s="13" t="s">
        <v>13</v>
      </c>
      <c r="F30" t="s">
        <v>405</v>
      </c>
      <c r="G30" s="14" t="s">
        <v>162</v>
      </c>
      <c r="H30" s="14" t="s">
        <v>163</v>
      </c>
    </row>
    <row r="31" spans="1:9" x14ac:dyDescent="0.25">
      <c r="A31" s="19" t="s">
        <v>7</v>
      </c>
      <c r="B31" s="14" t="s">
        <v>66</v>
      </c>
      <c r="C31" s="14" t="s">
        <v>187</v>
      </c>
      <c r="D31" s="14" t="s">
        <v>14</v>
      </c>
      <c r="E31" s="14" t="s">
        <v>15</v>
      </c>
      <c r="F31" t="s">
        <v>405</v>
      </c>
      <c r="G31" s="13" t="s">
        <v>71</v>
      </c>
      <c r="H31" s="13" t="s">
        <v>72</v>
      </c>
    </row>
    <row r="32" spans="1:9" x14ac:dyDescent="0.25">
      <c r="A32" s="18" t="s">
        <v>7</v>
      </c>
      <c r="B32" s="13" t="s">
        <v>66</v>
      </c>
      <c r="C32" s="13" t="s">
        <v>188</v>
      </c>
      <c r="D32" s="13" t="s">
        <v>16</v>
      </c>
      <c r="E32" s="13" t="s">
        <v>17</v>
      </c>
      <c r="F32" t="s">
        <v>405</v>
      </c>
      <c r="G32" s="14" t="s">
        <v>150</v>
      </c>
      <c r="H32" s="14" t="s">
        <v>151</v>
      </c>
    </row>
    <row r="33" spans="1:8" x14ac:dyDescent="0.25">
      <c r="A33" s="19" t="s">
        <v>7</v>
      </c>
      <c r="B33" s="14" t="s">
        <v>66</v>
      </c>
      <c r="C33" s="14" t="s">
        <v>188</v>
      </c>
      <c r="D33" s="14" t="s">
        <v>18</v>
      </c>
      <c r="E33" s="14" t="s">
        <v>19</v>
      </c>
      <c r="F33" t="s">
        <v>405</v>
      </c>
      <c r="G33" s="14" t="s">
        <v>85</v>
      </c>
      <c r="H33" s="14" t="s">
        <v>86</v>
      </c>
    </row>
    <row r="34" spans="1:8" x14ac:dyDescent="0.25">
      <c r="A34" s="18" t="s">
        <v>7</v>
      </c>
      <c r="B34" s="13" t="s">
        <v>66</v>
      </c>
      <c r="C34" s="13" t="s">
        <v>188</v>
      </c>
      <c r="D34" s="13" t="s">
        <v>20</v>
      </c>
      <c r="E34" s="13" t="s">
        <v>21</v>
      </c>
      <c r="F34" t="s">
        <v>405</v>
      </c>
      <c r="G34" s="13" t="s">
        <v>146</v>
      </c>
      <c r="H34" s="13" t="s">
        <v>147</v>
      </c>
    </row>
    <row r="35" spans="1:8" x14ac:dyDescent="0.25">
      <c r="A35" s="19" t="s">
        <v>7</v>
      </c>
      <c r="B35" s="14" t="s">
        <v>66</v>
      </c>
      <c r="C35" s="14" t="s">
        <v>188</v>
      </c>
      <c r="D35" s="14" t="s">
        <v>22</v>
      </c>
      <c r="E35" s="14" t="s">
        <v>23</v>
      </c>
      <c r="F35" t="s">
        <v>405</v>
      </c>
      <c r="G35" s="13" t="s">
        <v>154</v>
      </c>
      <c r="H35" s="13" t="s">
        <v>155</v>
      </c>
    </row>
    <row r="36" spans="1:8" x14ac:dyDescent="0.25">
      <c r="A36" s="18" t="s">
        <v>7</v>
      </c>
      <c r="B36" s="13" t="s">
        <v>64</v>
      </c>
      <c r="C36" s="13" t="s">
        <v>189</v>
      </c>
      <c r="D36" s="13" t="s">
        <v>24</v>
      </c>
      <c r="E36" s="13" t="s">
        <v>25</v>
      </c>
      <c r="F36" s="22" t="s">
        <v>405</v>
      </c>
      <c r="G36" s="13" t="s">
        <v>83</v>
      </c>
      <c r="H36" s="13" t="s">
        <v>84</v>
      </c>
    </row>
    <row r="37" spans="1:8" x14ac:dyDescent="0.25">
      <c r="A37" s="18" t="s">
        <v>7</v>
      </c>
      <c r="B37" s="13" t="s">
        <v>64</v>
      </c>
      <c r="C37" s="13" t="s">
        <v>188</v>
      </c>
      <c r="D37" s="13" t="s">
        <v>28</v>
      </c>
      <c r="E37" s="13" t="s">
        <v>29</v>
      </c>
      <c r="F37" s="22" t="s">
        <v>405</v>
      </c>
      <c r="G37" s="14" t="s">
        <v>77</v>
      </c>
      <c r="H37" s="14" t="s">
        <v>78</v>
      </c>
    </row>
    <row r="38" spans="1:8" x14ac:dyDescent="0.25">
      <c r="A38" s="19" t="s">
        <v>7</v>
      </c>
      <c r="B38" s="14" t="s">
        <v>64</v>
      </c>
      <c r="C38" s="14" t="s">
        <v>187</v>
      </c>
      <c r="D38" s="14" t="s">
        <v>30</v>
      </c>
      <c r="E38" s="14" t="s">
        <v>31</v>
      </c>
      <c r="F38" t="s">
        <v>405</v>
      </c>
      <c r="G38" s="13" t="s">
        <v>81</v>
      </c>
      <c r="H38" s="13" t="s">
        <v>82</v>
      </c>
    </row>
    <row r="39" spans="1:8" x14ac:dyDescent="0.25">
      <c r="A39" s="18" t="s">
        <v>7</v>
      </c>
      <c r="B39" s="13" t="s">
        <v>87</v>
      </c>
      <c r="C39" s="13" t="s">
        <v>189</v>
      </c>
      <c r="D39" s="13" t="s">
        <v>32</v>
      </c>
      <c r="E39" s="13" t="s">
        <v>33</v>
      </c>
      <c r="F39" t="s">
        <v>405</v>
      </c>
      <c r="G39" s="14" t="s">
        <v>92</v>
      </c>
      <c r="H39" s="14" t="s">
        <v>93</v>
      </c>
    </row>
    <row r="40" spans="1:8" x14ac:dyDescent="0.25">
      <c r="A40" s="19" t="s">
        <v>7</v>
      </c>
      <c r="B40" s="14" t="s">
        <v>87</v>
      </c>
      <c r="C40" s="14" t="s">
        <v>187</v>
      </c>
      <c r="D40" s="14" t="s">
        <v>34</v>
      </c>
      <c r="E40" s="14" t="s">
        <v>35</v>
      </c>
      <c r="F40" t="s">
        <v>405</v>
      </c>
      <c r="G40" s="13" t="s">
        <v>90</v>
      </c>
      <c r="H40" s="13" t="s">
        <v>91</v>
      </c>
    </row>
    <row r="41" spans="1:8" x14ac:dyDescent="0.25">
      <c r="A41" s="18" t="s">
        <v>7</v>
      </c>
      <c r="B41" s="13" t="s">
        <v>87</v>
      </c>
      <c r="C41" s="13" t="s">
        <v>188</v>
      </c>
      <c r="D41" s="13" t="s">
        <v>36</v>
      </c>
      <c r="E41" s="13" t="s">
        <v>37</v>
      </c>
      <c r="F41" s="22" t="s">
        <v>405</v>
      </c>
      <c r="G41" s="13" t="s">
        <v>88</v>
      </c>
      <c r="H41" s="13" t="s">
        <v>89</v>
      </c>
    </row>
    <row r="42" spans="1:8" x14ac:dyDescent="0.25">
      <c r="A42" s="19" t="s">
        <v>7</v>
      </c>
      <c r="B42" s="14" t="s">
        <v>66</v>
      </c>
      <c r="C42" s="14" t="s">
        <v>188</v>
      </c>
      <c r="D42" s="14" t="s">
        <v>47</v>
      </c>
      <c r="E42" s="14" t="s">
        <v>48</v>
      </c>
      <c r="F42" t="s">
        <v>405</v>
      </c>
      <c r="G42" s="13" t="s">
        <v>142</v>
      </c>
      <c r="H42" s="13" t="s">
        <v>143</v>
      </c>
    </row>
    <row r="43" spans="1:8" x14ac:dyDescent="0.25">
      <c r="A43" s="18" t="s">
        <v>7</v>
      </c>
      <c r="B43" s="13" t="s">
        <v>66</v>
      </c>
      <c r="C43" s="13" t="s">
        <v>188</v>
      </c>
      <c r="D43" s="13" t="s">
        <v>49</v>
      </c>
      <c r="E43" s="13" t="s">
        <v>50</v>
      </c>
      <c r="F43" t="s">
        <v>405</v>
      </c>
      <c r="G43" s="13" t="s">
        <v>146</v>
      </c>
      <c r="H43" s="13" t="s">
        <v>147</v>
      </c>
    </row>
    <row r="44" spans="1:8" x14ac:dyDescent="0.25">
      <c r="A44" s="19" t="s">
        <v>7</v>
      </c>
      <c r="B44" s="14" t="s">
        <v>66</v>
      </c>
      <c r="C44" s="14" t="s">
        <v>188</v>
      </c>
      <c r="D44" s="14" t="s">
        <v>51</v>
      </c>
      <c r="E44" s="14" t="s">
        <v>52</v>
      </c>
      <c r="F44" t="s">
        <v>405</v>
      </c>
      <c r="G44" s="13" t="s">
        <v>154</v>
      </c>
      <c r="H44" s="13" t="s">
        <v>155</v>
      </c>
    </row>
    <row r="45" spans="1:8" x14ac:dyDescent="0.25">
      <c r="A45" s="18" t="s">
        <v>7</v>
      </c>
      <c r="B45" s="13" t="s">
        <v>66</v>
      </c>
      <c r="C45" s="13" t="s">
        <v>188</v>
      </c>
      <c r="D45" s="13" t="s">
        <v>59</v>
      </c>
      <c r="E45" s="13" t="s">
        <v>60</v>
      </c>
      <c r="F45" t="s">
        <v>405</v>
      </c>
      <c r="G45" s="14" t="s">
        <v>85</v>
      </c>
      <c r="H45" s="14" t="s">
        <v>86</v>
      </c>
    </row>
    <row r="46" spans="1:8" x14ac:dyDescent="0.25">
      <c r="A46" s="19" t="s">
        <v>7</v>
      </c>
      <c r="B46" s="14" t="s">
        <v>66</v>
      </c>
      <c r="C46" s="14" t="s">
        <v>188</v>
      </c>
      <c r="D46" s="14" t="s">
        <v>53</v>
      </c>
      <c r="E46" s="14" t="s">
        <v>54</v>
      </c>
      <c r="F46" t="s">
        <v>405</v>
      </c>
      <c r="G46" s="14" t="s">
        <v>150</v>
      </c>
      <c r="H46" s="14" t="s">
        <v>151</v>
      </c>
    </row>
    <row r="47" spans="1:8" x14ac:dyDescent="0.25">
      <c r="A47" s="18" t="s">
        <v>7</v>
      </c>
      <c r="B47" s="13" t="s">
        <v>66</v>
      </c>
      <c r="C47" s="13" t="s">
        <v>188</v>
      </c>
      <c r="D47" s="13" t="s">
        <v>55</v>
      </c>
      <c r="E47" s="13" t="s">
        <v>56</v>
      </c>
      <c r="F47" t="s">
        <v>405</v>
      </c>
      <c r="G47" s="14" t="s">
        <v>162</v>
      </c>
      <c r="H47" s="14" t="s">
        <v>163</v>
      </c>
    </row>
    <row r="48" spans="1:8" x14ac:dyDescent="0.25">
      <c r="A48" s="19" t="s">
        <v>7</v>
      </c>
      <c r="B48" s="14" t="s">
        <v>66</v>
      </c>
      <c r="C48" s="14" t="s">
        <v>188</v>
      </c>
      <c r="D48" s="14" t="s">
        <v>57</v>
      </c>
      <c r="E48" s="14" t="s">
        <v>58</v>
      </c>
      <c r="F48" t="s">
        <v>405</v>
      </c>
      <c r="G48" s="14" t="s">
        <v>160</v>
      </c>
      <c r="H48" s="14" t="s">
        <v>161</v>
      </c>
    </row>
    <row r="49" spans="1:8" x14ac:dyDescent="0.25">
      <c r="A49" s="18" t="s">
        <v>7</v>
      </c>
      <c r="B49" s="13" t="s">
        <v>66</v>
      </c>
      <c r="C49" s="13" t="s">
        <v>187</v>
      </c>
      <c r="D49" s="13" t="s">
        <v>61</v>
      </c>
      <c r="E49" s="13" t="s">
        <v>62</v>
      </c>
      <c r="F49" s="22" t="s">
        <v>405</v>
      </c>
      <c r="G49" s="13" t="s">
        <v>71</v>
      </c>
      <c r="H49" s="13" t="s">
        <v>72</v>
      </c>
    </row>
    <row r="50" spans="1:8" x14ac:dyDescent="0.25">
      <c r="A50" s="19" t="s">
        <v>38</v>
      </c>
      <c r="B50" s="14" t="s">
        <v>66</v>
      </c>
      <c r="C50" s="14" t="s">
        <v>187</v>
      </c>
      <c r="D50" s="14" t="s">
        <v>39</v>
      </c>
      <c r="E50" s="14" t="s">
        <v>40</v>
      </c>
      <c r="F50" s="22" t="s">
        <v>405</v>
      </c>
      <c r="G50" s="13" t="s">
        <v>69</v>
      </c>
      <c r="H50" s="13" t="s">
        <v>70</v>
      </c>
    </row>
    <row r="51" spans="1:8" x14ac:dyDescent="0.25">
      <c r="A51" s="18" t="s">
        <v>38</v>
      </c>
      <c r="B51" s="13" t="s">
        <v>64</v>
      </c>
      <c r="C51" s="13" t="s">
        <v>187</v>
      </c>
      <c r="D51" s="13" t="s">
        <v>41</v>
      </c>
      <c r="E51" s="13" t="s">
        <v>42</v>
      </c>
      <c r="F51" s="22" t="s">
        <v>405</v>
      </c>
      <c r="G51" s="14" t="s">
        <v>79</v>
      </c>
      <c r="H51" s="14" t="s">
        <v>80</v>
      </c>
    </row>
    <row r="52" spans="1:8" x14ac:dyDescent="0.25">
      <c r="A52" s="19" t="s">
        <v>38</v>
      </c>
      <c r="B52" s="14" t="s">
        <v>66</v>
      </c>
      <c r="C52" s="14" t="s">
        <v>187</v>
      </c>
      <c r="D52" s="14" t="s">
        <v>43</v>
      </c>
      <c r="E52" s="14" t="s">
        <v>44</v>
      </c>
      <c r="F52" s="22" t="s">
        <v>405</v>
      </c>
      <c r="G52" s="14" t="s">
        <v>102</v>
      </c>
      <c r="H52" s="14" t="s">
        <v>103</v>
      </c>
    </row>
    <row r="53" spans="1:8" x14ac:dyDescent="0.25">
      <c r="A53" s="18" t="s">
        <v>38</v>
      </c>
      <c r="B53" s="13" t="s">
        <v>66</v>
      </c>
      <c r="C53" s="13" t="s">
        <v>187</v>
      </c>
      <c r="D53" s="13" t="s">
        <v>45</v>
      </c>
      <c r="E53" s="13" t="s">
        <v>46</v>
      </c>
      <c r="F53" s="22" t="s">
        <v>405</v>
      </c>
      <c r="G53" s="13" t="s">
        <v>98</v>
      </c>
      <c r="H53" s="13" t="s">
        <v>99</v>
      </c>
    </row>
  </sheetData>
  <autoFilter ref="A1:I53" xr:uid="{3305BF3E-903C-4E00-82D6-F605EED551B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03E5-57BD-4EBB-B701-47C57CE55C7D}">
  <dimension ref="A1:S39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26.5703125" bestFit="1" customWidth="1"/>
    <col min="2" max="2" width="14.85546875" bestFit="1" customWidth="1"/>
    <col min="3" max="3" width="13.140625" bestFit="1" customWidth="1"/>
    <col min="4" max="4" width="54.5703125" bestFit="1" customWidth="1"/>
    <col min="5" max="5" width="12.85546875" bestFit="1" customWidth="1"/>
    <col min="6" max="6" width="10.5703125" bestFit="1" customWidth="1"/>
    <col min="7" max="7" width="11.85546875" bestFit="1" customWidth="1"/>
    <col min="8" max="8" width="19" bestFit="1" customWidth="1"/>
    <col min="9" max="9" width="24.28515625" bestFit="1" customWidth="1"/>
    <col min="10" max="10" width="14.140625" bestFit="1" customWidth="1"/>
    <col min="11" max="11" width="19.85546875" bestFit="1" customWidth="1"/>
    <col min="12" max="12" width="14.140625" bestFit="1" customWidth="1"/>
    <col min="13" max="13" width="19.85546875" bestFit="1" customWidth="1"/>
    <col min="14" max="14" width="10.42578125" bestFit="1" customWidth="1"/>
    <col min="15" max="15" width="16" bestFit="1" customWidth="1"/>
    <col min="16" max="16" width="10.42578125" bestFit="1" customWidth="1"/>
    <col min="17" max="17" width="16" bestFit="1" customWidth="1"/>
    <col min="18" max="18" width="10.42578125" bestFit="1" customWidth="1"/>
    <col min="19" max="19" width="14.85546875" customWidth="1"/>
  </cols>
  <sheetData>
    <row r="1" spans="1:19" x14ac:dyDescent="0.25">
      <c r="A1" t="s">
        <v>0</v>
      </c>
      <c r="B1" t="s">
        <v>310</v>
      </c>
      <c r="C1" t="s">
        <v>2</v>
      </c>
      <c r="D1" t="s">
        <v>3</v>
      </c>
      <c r="E1" t="s">
        <v>63</v>
      </c>
      <c r="F1" t="s">
        <v>209</v>
      </c>
      <c r="G1" t="s">
        <v>210</v>
      </c>
      <c r="H1" t="s">
        <v>5</v>
      </c>
      <c r="I1" t="s">
        <v>193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6</v>
      </c>
    </row>
    <row r="2" spans="1:19" x14ac:dyDescent="0.25">
      <c r="A2" t="s">
        <v>325</v>
      </c>
      <c r="B2" t="s">
        <v>66</v>
      </c>
      <c r="C2" t="s">
        <v>323</v>
      </c>
      <c r="D2" t="s">
        <v>324</v>
      </c>
      <c r="E2">
        <v>0</v>
      </c>
      <c r="F2">
        <v>0</v>
      </c>
      <c r="H2">
        <v>0</v>
      </c>
      <c r="I2">
        <v>0</v>
      </c>
      <c r="L2" t="s">
        <v>181</v>
      </c>
      <c r="M2" t="s">
        <v>181</v>
      </c>
    </row>
    <row r="3" spans="1:19" x14ac:dyDescent="0.25">
      <c r="A3" t="s">
        <v>325</v>
      </c>
      <c r="B3" t="s">
        <v>87</v>
      </c>
      <c r="C3" t="s">
        <v>326</v>
      </c>
      <c r="D3" t="s">
        <v>327</v>
      </c>
      <c r="E3">
        <v>0</v>
      </c>
      <c r="F3">
        <v>0</v>
      </c>
      <c r="H3">
        <v>0</v>
      </c>
      <c r="I3">
        <v>0</v>
      </c>
      <c r="L3" t="s">
        <v>181</v>
      </c>
      <c r="M3" t="s">
        <v>181</v>
      </c>
    </row>
    <row r="4" spans="1:19" x14ac:dyDescent="0.25">
      <c r="A4" t="s">
        <v>325</v>
      </c>
      <c r="B4" t="s">
        <v>87</v>
      </c>
      <c r="C4" t="s">
        <v>328</v>
      </c>
      <c r="D4" t="s">
        <v>329</v>
      </c>
      <c r="E4">
        <v>0</v>
      </c>
      <c r="F4">
        <v>0</v>
      </c>
      <c r="H4">
        <v>0</v>
      </c>
      <c r="I4">
        <v>0</v>
      </c>
      <c r="L4" t="s">
        <v>181</v>
      </c>
      <c r="M4" t="s">
        <v>181</v>
      </c>
    </row>
    <row r="5" spans="1:19" x14ac:dyDescent="0.25">
      <c r="A5" t="s">
        <v>325</v>
      </c>
      <c r="B5" t="s">
        <v>64</v>
      </c>
      <c r="C5" t="s">
        <v>330</v>
      </c>
      <c r="D5" t="s">
        <v>331</v>
      </c>
      <c r="E5">
        <v>0</v>
      </c>
      <c r="F5">
        <v>0</v>
      </c>
      <c r="H5">
        <v>0</v>
      </c>
      <c r="I5">
        <v>0</v>
      </c>
      <c r="L5" t="s">
        <v>181</v>
      </c>
      <c r="M5" t="s">
        <v>181</v>
      </c>
    </row>
    <row r="6" spans="1:19" x14ac:dyDescent="0.25">
      <c r="A6" t="s">
        <v>325</v>
      </c>
      <c r="B6" t="s">
        <v>64</v>
      </c>
      <c r="C6" t="s">
        <v>332</v>
      </c>
      <c r="D6" t="s">
        <v>333</v>
      </c>
      <c r="E6">
        <v>0</v>
      </c>
      <c r="F6">
        <v>0</v>
      </c>
      <c r="H6">
        <v>0</v>
      </c>
      <c r="I6">
        <v>0</v>
      </c>
      <c r="L6" t="s">
        <v>181</v>
      </c>
      <c r="M6" t="s">
        <v>181</v>
      </c>
    </row>
    <row r="7" spans="1:19" x14ac:dyDescent="0.25">
      <c r="A7" t="s">
        <v>325</v>
      </c>
      <c r="B7" t="s">
        <v>66</v>
      </c>
      <c r="C7" t="s">
        <v>334</v>
      </c>
      <c r="D7" t="s">
        <v>335</v>
      </c>
      <c r="E7">
        <v>0</v>
      </c>
      <c r="F7">
        <v>0</v>
      </c>
      <c r="H7">
        <v>0</v>
      </c>
      <c r="I7">
        <v>0</v>
      </c>
      <c r="L7" t="s">
        <v>181</v>
      </c>
      <c r="M7" t="s">
        <v>181</v>
      </c>
    </row>
    <row r="8" spans="1:19" x14ac:dyDescent="0.25">
      <c r="A8" t="s">
        <v>325</v>
      </c>
      <c r="B8" t="s">
        <v>66</v>
      </c>
      <c r="C8" t="s">
        <v>336</v>
      </c>
      <c r="D8" t="s">
        <v>337</v>
      </c>
      <c r="E8">
        <v>0</v>
      </c>
      <c r="F8">
        <v>0</v>
      </c>
      <c r="H8">
        <v>0</v>
      </c>
      <c r="I8">
        <v>0</v>
      </c>
      <c r="L8" t="s">
        <v>181</v>
      </c>
      <c r="M8" t="s">
        <v>181</v>
      </c>
    </row>
    <row r="9" spans="1:19" x14ac:dyDescent="0.25">
      <c r="A9" t="s">
        <v>325</v>
      </c>
      <c r="B9" t="s">
        <v>66</v>
      </c>
      <c r="C9" t="s">
        <v>338</v>
      </c>
      <c r="D9" t="s">
        <v>339</v>
      </c>
      <c r="E9">
        <v>0</v>
      </c>
      <c r="F9">
        <v>0</v>
      </c>
      <c r="H9">
        <v>0</v>
      </c>
      <c r="I9">
        <v>0</v>
      </c>
      <c r="L9" t="s">
        <v>181</v>
      </c>
      <c r="M9" t="s">
        <v>181</v>
      </c>
    </row>
    <row r="10" spans="1:19" x14ac:dyDescent="0.25">
      <c r="A10" t="s">
        <v>325</v>
      </c>
      <c r="B10" t="s">
        <v>64</v>
      </c>
      <c r="C10" t="s">
        <v>340</v>
      </c>
      <c r="D10" t="s">
        <v>341</v>
      </c>
      <c r="E10">
        <v>0</v>
      </c>
      <c r="F10">
        <v>0</v>
      </c>
      <c r="H10">
        <v>0</v>
      </c>
      <c r="I10">
        <v>0</v>
      </c>
      <c r="L10" t="s">
        <v>181</v>
      </c>
      <c r="M10" t="s">
        <v>181</v>
      </c>
    </row>
    <row r="11" spans="1:19" x14ac:dyDescent="0.25">
      <c r="A11" t="s">
        <v>344</v>
      </c>
      <c r="B11" t="s">
        <v>87</v>
      </c>
      <c r="C11" t="s">
        <v>342</v>
      </c>
      <c r="D11" t="s">
        <v>343</v>
      </c>
      <c r="E11">
        <v>5250</v>
      </c>
      <c r="F11">
        <v>0</v>
      </c>
      <c r="H11">
        <v>0</v>
      </c>
      <c r="I11">
        <v>0</v>
      </c>
      <c r="J11">
        <v>2520</v>
      </c>
      <c r="K11">
        <v>840</v>
      </c>
      <c r="L11" t="s">
        <v>181</v>
      </c>
      <c r="M11" t="s">
        <v>181</v>
      </c>
      <c r="N11">
        <v>840</v>
      </c>
      <c r="S11">
        <v>840</v>
      </c>
    </row>
    <row r="12" spans="1:19" x14ac:dyDescent="0.25">
      <c r="A12" t="s">
        <v>344</v>
      </c>
      <c r="B12" t="s">
        <v>66</v>
      </c>
      <c r="C12" t="s">
        <v>345</v>
      </c>
      <c r="D12" t="s">
        <v>346</v>
      </c>
      <c r="E12">
        <v>19320</v>
      </c>
      <c r="F12">
        <v>0</v>
      </c>
      <c r="J12">
        <v>19320</v>
      </c>
      <c r="L12" t="s">
        <v>181</v>
      </c>
      <c r="M12" t="s">
        <v>181</v>
      </c>
    </row>
    <row r="13" spans="1:19" x14ac:dyDescent="0.25">
      <c r="A13" t="s">
        <v>344</v>
      </c>
      <c r="B13" t="s">
        <v>66</v>
      </c>
      <c r="C13" t="s">
        <v>347</v>
      </c>
      <c r="D13" t="s">
        <v>348</v>
      </c>
      <c r="E13">
        <v>70560</v>
      </c>
      <c r="F13">
        <v>0</v>
      </c>
      <c r="J13">
        <v>70560</v>
      </c>
      <c r="L13" t="s">
        <v>181</v>
      </c>
      <c r="M13" t="s">
        <v>181</v>
      </c>
    </row>
    <row r="14" spans="1:19" x14ac:dyDescent="0.25">
      <c r="A14" t="s">
        <v>344</v>
      </c>
      <c r="B14" t="s">
        <v>66</v>
      </c>
      <c r="C14" t="s">
        <v>349</v>
      </c>
      <c r="D14" t="s">
        <v>350</v>
      </c>
      <c r="E14">
        <v>8400</v>
      </c>
      <c r="F14">
        <v>0</v>
      </c>
      <c r="H14">
        <v>0</v>
      </c>
      <c r="I14">
        <v>0</v>
      </c>
      <c r="J14">
        <v>6510</v>
      </c>
      <c r="L14" t="s">
        <v>181</v>
      </c>
      <c r="M14" t="s">
        <v>181</v>
      </c>
      <c r="P14">
        <v>1680</v>
      </c>
      <c r="Q14">
        <v>210</v>
      </c>
    </row>
    <row r="15" spans="1:19" x14ac:dyDescent="0.25">
      <c r="A15" t="s">
        <v>344</v>
      </c>
      <c r="B15" t="s">
        <v>66</v>
      </c>
      <c r="C15" t="s">
        <v>351</v>
      </c>
      <c r="D15" t="s">
        <v>352</v>
      </c>
      <c r="E15">
        <v>332430</v>
      </c>
      <c r="F15">
        <v>0</v>
      </c>
      <c r="H15">
        <v>420</v>
      </c>
      <c r="I15">
        <v>0</v>
      </c>
      <c r="J15">
        <v>108360</v>
      </c>
      <c r="L15" t="s">
        <v>181</v>
      </c>
      <c r="M15" t="s">
        <v>181</v>
      </c>
      <c r="N15">
        <v>210840</v>
      </c>
      <c r="O15">
        <v>210</v>
      </c>
      <c r="P15">
        <v>1680</v>
      </c>
      <c r="S15">
        <v>10920</v>
      </c>
    </row>
    <row r="16" spans="1:19" x14ac:dyDescent="0.25">
      <c r="A16" t="s">
        <v>344</v>
      </c>
      <c r="B16" t="s">
        <v>87</v>
      </c>
      <c r="C16" t="s">
        <v>353</v>
      </c>
      <c r="D16" t="s">
        <v>354</v>
      </c>
      <c r="E16">
        <v>2520</v>
      </c>
      <c r="F16">
        <v>0</v>
      </c>
      <c r="H16">
        <v>0</v>
      </c>
      <c r="I16">
        <v>0</v>
      </c>
      <c r="L16" t="s">
        <v>181</v>
      </c>
      <c r="M16" t="s">
        <v>181</v>
      </c>
      <c r="N16">
        <v>2520</v>
      </c>
    </row>
    <row r="17" spans="1:19" x14ac:dyDescent="0.25">
      <c r="A17" t="s">
        <v>344</v>
      </c>
      <c r="B17" t="s">
        <v>66</v>
      </c>
      <c r="C17" t="s">
        <v>355</v>
      </c>
      <c r="D17" t="s">
        <v>356</v>
      </c>
      <c r="E17">
        <v>21630</v>
      </c>
      <c r="F17">
        <v>0</v>
      </c>
      <c r="H17">
        <v>0</v>
      </c>
      <c r="I17">
        <v>0</v>
      </c>
      <c r="J17">
        <v>9870</v>
      </c>
      <c r="L17" t="s">
        <v>181</v>
      </c>
      <c r="M17" t="s">
        <v>181</v>
      </c>
      <c r="N17">
        <v>8400</v>
      </c>
      <c r="P17">
        <v>3360</v>
      </c>
    </row>
    <row r="18" spans="1:19" x14ac:dyDescent="0.25">
      <c r="A18" t="s">
        <v>344</v>
      </c>
      <c r="B18" t="s">
        <v>66</v>
      </c>
      <c r="C18" t="s">
        <v>357</v>
      </c>
      <c r="D18" t="s">
        <v>358</v>
      </c>
      <c r="E18">
        <v>89040</v>
      </c>
      <c r="F18">
        <v>0</v>
      </c>
      <c r="H18">
        <v>210</v>
      </c>
      <c r="I18">
        <v>0</v>
      </c>
      <c r="J18">
        <v>6720</v>
      </c>
      <c r="L18" t="s">
        <v>181</v>
      </c>
      <c r="M18" t="s">
        <v>181</v>
      </c>
      <c r="N18">
        <v>82110</v>
      </c>
    </row>
    <row r="19" spans="1:19" x14ac:dyDescent="0.25">
      <c r="A19" t="s">
        <v>344</v>
      </c>
      <c r="B19" t="s">
        <v>66</v>
      </c>
      <c r="C19" t="s">
        <v>359</v>
      </c>
      <c r="D19" t="s">
        <v>360</v>
      </c>
      <c r="E19">
        <v>281400</v>
      </c>
      <c r="F19">
        <v>0</v>
      </c>
      <c r="H19">
        <v>840</v>
      </c>
      <c r="I19">
        <v>0</v>
      </c>
      <c r="L19" t="s">
        <v>181</v>
      </c>
      <c r="M19" t="s">
        <v>181</v>
      </c>
      <c r="N19">
        <v>48720</v>
      </c>
      <c r="P19">
        <v>231630</v>
      </c>
    </row>
    <row r="20" spans="1:19" x14ac:dyDescent="0.25">
      <c r="A20" t="s">
        <v>344</v>
      </c>
      <c r="B20" t="s">
        <v>66</v>
      </c>
      <c r="C20" t="s">
        <v>361</v>
      </c>
      <c r="D20" t="s">
        <v>362</v>
      </c>
      <c r="E20">
        <v>130830</v>
      </c>
      <c r="F20">
        <v>0</v>
      </c>
      <c r="H20">
        <v>210</v>
      </c>
      <c r="I20">
        <v>0</v>
      </c>
      <c r="J20">
        <v>4200</v>
      </c>
      <c r="L20" t="s">
        <v>181</v>
      </c>
      <c r="M20" t="s">
        <v>181</v>
      </c>
      <c r="N20">
        <v>92820</v>
      </c>
      <c r="P20">
        <v>33600</v>
      </c>
    </row>
    <row r="21" spans="1:19" x14ac:dyDescent="0.25">
      <c r="A21" t="s">
        <v>344</v>
      </c>
      <c r="B21" t="s">
        <v>66</v>
      </c>
      <c r="C21" t="s">
        <v>363</v>
      </c>
      <c r="D21" t="s">
        <v>364</v>
      </c>
      <c r="E21">
        <v>0</v>
      </c>
      <c r="F21">
        <v>0</v>
      </c>
      <c r="H21">
        <v>0</v>
      </c>
      <c r="I21">
        <v>0</v>
      </c>
      <c r="L21" t="s">
        <v>181</v>
      </c>
      <c r="M21" t="s">
        <v>181</v>
      </c>
    </row>
    <row r="22" spans="1:19" x14ac:dyDescent="0.25">
      <c r="A22" t="s">
        <v>344</v>
      </c>
      <c r="B22" t="s">
        <v>64</v>
      </c>
      <c r="C22" t="s">
        <v>365</v>
      </c>
      <c r="D22" t="s">
        <v>366</v>
      </c>
      <c r="E22">
        <v>845250</v>
      </c>
      <c r="F22">
        <v>0</v>
      </c>
      <c r="H22">
        <v>690</v>
      </c>
      <c r="I22">
        <v>0</v>
      </c>
      <c r="J22">
        <v>843640</v>
      </c>
      <c r="L22" t="s">
        <v>181</v>
      </c>
      <c r="M22" t="s">
        <v>181</v>
      </c>
      <c r="N22">
        <v>920</v>
      </c>
    </row>
    <row r="23" spans="1:19" x14ac:dyDescent="0.25">
      <c r="A23" t="s">
        <v>344</v>
      </c>
      <c r="B23" t="s">
        <v>64</v>
      </c>
      <c r="C23" t="s">
        <v>367</v>
      </c>
      <c r="D23" t="s">
        <v>368</v>
      </c>
      <c r="E23">
        <v>31416</v>
      </c>
      <c r="F23">
        <v>0</v>
      </c>
      <c r="H23">
        <v>0</v>
      </c>
      <c r="I23">
        <v>0</v>
      </c>
      <c r="L23" t="s">
        <v>181</v>
      </c>
      <c r="M23" t="s">
        <v>181</v>
      </c>
      <c r="N23">
        <v>11900</v>
      </c>
      <c r="O23">
        <v>476</v>
      </c>
      <c r="Q23">
        <v>19040</v>
      </c>
    </row>
    <row r="24" spans="1:19" x14ac:dyDescent="0.25">
      <c r="A24" t="s">
        <v>344</v>
      </c>
      <c r="B24" t="s">
        <v>64</v>
      </c>
      <c r="C24" t="s">
        <v>369</v>
      </c>
      <c r="D24" t="s">
        <v>370</v>
      </c>
      <c r="E24">
        <v>0</v>
      </c>
      <c r="F24">
        <v>0</v>
      </c>
      <c r="H24">
        <v>0</v>
      </c>
      <c r="I24">
        <v>0</v>
      </c>
      <c r="L24" t="s">
        <v>181</v>
      </c>
      <c r="M24" t="s">
        <v>181</v>
      </c>
    </row>
    <row r="25" spans="1:19" x14ac:dyDescent="0.25">
      <c r="A25" t="s">
        <v>344</v>
      </c>
      <c r="B25" t="s">
        <v>66</v>
      </c>
      <c r="C25" t="s">
        <v>371</v>
      </c>
      <c r="D25" t="s">
        <v>372</v>
      </c>
      <c r="E25">
        <v>39480</v>
      </c>
      <c r="F25">
        <v>0</v>
      </c>
      <c r="H25">
        <v>0</v>
      </c>
      <c r="I25">
        <v>0</v>
      </c>
      <c r="J25">
        <v>19320</v>
      </c>
      <c r="L25" t="s">
        <v>181</v>
      </c>
      <c r="M25" t="s">
        <v>181</v>
      </c>
      <c r="N25">
        <v>2520</v>
      </c>
      <c r="P25">
        <v>17640</v>
      </c>
    </row>
    <row r="26" spans="1:19" x14ac:dyDescent="0.25">
      <c r="A26" t="s">
        <v>325</v>
      </c>
      <c r="B26" t="s">
        <v>66</v>
      </c>
      <c r="C26" t="s">
        <v>373</v>
      </c>
      <c r="D26" t="s">
        <v>374</v>
      </c>
      <c r="E26">
        <v>0</v>
      </c>
      <c r="F26">
        <v>0</v>
      </c>
      <c r="H26">
        <v>0</v>
      </c>
      <c r="I26">
        <v>0</v>
      </c>
      <c r="L26" t="s">
        <v>181</v>
      </c>
      <c r="M26" t="s">
        <v>181</v>
      </c>
    </row>
    <row r="27" spans="1:19" x14ac:dyDescent="0.25">
      <c r="A27" t="s">
        <v>325</v>
      </c>
      <c r="B27" t="s">
        <v>66</v>
      </c>
      <c r="C27" t="s">
        <v>375</v>
      </c>
      <c r="D27" t="s">
        <v>376</v>
      </c>
      <c r="E27">
        <v>0</v>
      </c>
      <c r="F27">
        <v>0</v>
      </c>
      <c r="H27">
        <v>0</v>
      </c>
      <c r="I27">
        <v>0</v>
      </c>
      <c r="L27" t="s">
        <v>181</v>
      </c>
      <c r="M27" t="s">
        <v>181</v>
      </c>
    </row>
    <row r="28" spans="1:19" x14ac:dyDescent="0.25">
      <c r="A28" t="s">
        <v>344</v>
      </c>
      <c r="C28" t="s">
        <v>377</v>
      </c>
      <c r="D28" t="s">
        <v>378</v>
      </c>
      <c r="E28">
        <v>7560</v>
      </c>
      <c r="F28">
        <v>0</v>
      </c>
      <c r="H28">
        <v>0</v>
      </c>
      <c r="L28" t="s">
        <v>181</v>
      </c>
      <c r="M28" t="s">
        <v>181</v>
      </c>
      <c r="R28">
        <v>7560</v>
      </c>
      <c r="S28">
        <v>0</v>
      </c>
    </row>
    <row r="29" spans="1:19" x14ac:dyDescent="0.25">
      <c r="A29" t="s">
        <v>325</v>
      </c>
      <c r="B29" t="s">
        <v>87</v>
      </c>
      <c r="C29" t="s">
        <v>379</v>
      </c>
      <c r="D29" t="s">
        <v>380</v>
      </c>
      <c r="E29">
        <v>0</v>
      </c>
      <c r="F29">
        <v>0</v>
      </c>
      <c r="L29" t="s">
        <v>181</v>
      </c>
      <c r="M29" t="s">
        <v>181</v>
      </c>
    </row>
    <row r="30" spans="1:19" x14ac:dyDescent="0.25">
      <c r="A30" t="s">
        <v>325</v>
      </c>
      <c r="B30" t="s">
        <v>66</v>
      </c>
      <c r="C30" t="s">
        <v>381</v>
      </c>
      <c r="D30" t="s">
        <v>382</v>
      </c>
      <c r="E30">
        <v>0</v>
      </c>
      <c r="F30">
        <v>0</v>
      </c>
      <c r="L30" t="s">
        <v>181</v>
      </c>
      <c r="M30" t="s">
        <v>181</v>
      </c>
    </row>
    <row r="31" spans="1:19" x14ac:dyDescent="0.25">
      <c r="A31" t="s">
        <v>325</v>
      </c>
      <c r="B31" t="s">
        <v>64</v>
      </c>
      <c r="C31" t="s">
        <v>383</v>
      </c>
      <c r="D31" t="s">
        <v>384</v>
      </c>
      <c r="E31">
        <v>0</v>
      </c>
      <c r="F31">
        <v>0</v>
      </c>
      <c r="L31" t="s">
        <v>181</v>
      </c>
      <c r="M31" t="s">
        <v>181</v>
      </c>
    </row>
    <row r="32" spans="1:19" x14ac:dyDescent="0.25">
      <c r="A32" t="s">
        <v>344</v>
      </c>
      <c r="B32" t="s">
        <v>87</v>
      </c>
      <c r="C32" t="s">
        <v>385</v>
      </c>
      <c r="D32" t="s">
        <v>386</v>
      </c>
      <c r="E32">
        <v>0</v>
      </c>
      <c r="F32">
        <v>0</v>
      </c>
      <c r="L32" t="s">
        <v>181</v>
      </c>
      <c r="M32" t="s">
        <v>181</v>
      </c>
    </row>
    <row r="33" spans="1:13" x14ac:dyDescent="0.25">
      <c r="A33" t="s">
        <v>325</v>
      </c>
      <c r="B33" t="s">
        <v>66</v>
      </c>
      <c r="C33" t="s">
        <v>387</v>
      </c>
      <c r="D33" t="s">
        <v>388</v>
      </c>
      <c r="E33">
        <v>0</v>
      </c>
      <c r="F33">
        <v>0</v>
      </c>
      <c r="L33" t="s">
        <v>181</v>
      </c>
      <c r="M33" t="s">
        <v>181</v>
      </c>
    </row>
    <row r="34" spans="1:13" x14ac:dyDescent="0.25">
      <c r="A34" t="s">
        <v>325</v>
      </c>
      <c r="B34" t="s">
        <v>66</v>
      </c>
      <c r="C34" t="s">
        <v>389</v>
      </c>
      <c r="D34" t="s">
        <v>390</v>
      </c>
      <c r="E34">
        <v>0</v>
      </c>
      <c r="F34">
        <v>0</v>
      </c>
      <c r="L34" t="s">
        <v>181</v>
      </c>
      <c r="M34" t="s">
        <v>181</v>
      </c>
    </row>
    <row r="35" spans="1:13" x14ac:dyDescent="0.25">
      <c r="A35" t="s">
        <v>344</v>
      </c>
      <c r="B35" t="s">
        <v>87</v>
      </c>
      <c r="C35" t="s">
        <v>391</v>
      </c>
      <c r="D35" t="s">
        <v>392</v>
      </c>
      <c r="E35">
        <v>0</v>
      </c>
      <c r="F35">
        <v>0</v>
      </c>
      <c r="L35" t="s">
        <v>181</v>
      </c>
      <c r="M35" t="s">
        <v>181</v>
      </c>
    </row>
    <row r="36" spans="1:13" x14ac:dyDescent="0.25">
      <c r="A36" t="s">
        <v>325</v>
      </c>
      <c r="B36" t="s">
        <v>66</v>
      </c>
      <c r="C36" t="s">
        <v>393</v>
      </c>
      <c r="D36" t="s">
        <v>394</v>
      </c>
      <c r="E36">
        <v>0</v>
      </c>
      <c r="F36">
        <v>0</v>
      </c>
      <c r="L36" t="s">
        <v>181</v>
      </c>
      <c r="M36" t="s">
        <v>181</v>
      </c>
    </row>
    <row r="37" spans="1:13" x14ac:dyDescent="0.25">
      <c r="A37" t="s">
        <v>344</v>
      </c>
      <c r="B37" t="s">
        <v>64</v>
      </c>
      <c r="C37" t="s">
        <v>395</v>
      </c>
      <c r="D37" t="s">
        <v>396</v>
      </c>
      <c r="E37">
        <v>0</v>
      </c>
      <c r="F37">
        <v>0</v>
      </c>
      <c r="L37" t="s">
        <v>181</v>
      </c>
      <c r="M37" t="s">
        <v>181</v>
      </c>
    </row>
    <row r="38" spans="1:13" x14ac:dyDescent="0.25">
      <c r="A38" t="s">
        <v>325</v>
      </c>
      <c r="C38" t="s">
        <v>397</v>
      </c>
      <c r="D38" t="s">
        <v>398</v>
      </c>
      <c r="E38">
        <v>0</v>
      </c>
      <c r="F38">
        <v>0</v>
      </c>
      <c r="L38" t="s">
        <v>181</v>
      </c>
      <c r="M38" t="s">
        <v>181</v>
      </c>
    </row>
    <row r="39" spans="1:13" x14ac:dyDescent="0.25">
      <c r="A39" t="s">
        <v>325</v>
      </c>
      <c r="B39" t="s">
        <v>87</v>
      </c>
      <c r="C39" t="s">
        <v>399</v>
      </c>
      <c r="D39" t="s">
        <v>400</v>
      </c>
      <c r="E39">
        <v>0</v>
      </c>
      <c r="F39">
        <v>0</v>
      </c>
      <c r="L39" t="s">
        <v>181</v>
      </c>
      <c r="M39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CD4F2E4-07E5-441C-94CD-B4572CE0CB9B}">
  <ds:schemaRefs/>
</ds:datastoreItem>
</file>

<file path=customXml/itemProps2.xml><?xml version="1.0" encoding="utf-8"?>
<ds:datastoreItem xmlns:ds="http://schemas.openxmlformats.org/officeDocument/2006/customXml" ds:itemID="{CDF9CB47-7A73-4434-B827-AB8ED99E34E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EE26DA0-65C9-4DBE-B543-D156B6EE65E3}">
  <ds:schemaRefs/>
</ds:datastoreItem>
</file>

<file path=customXml/itemProps4.xml><?xml version="1.0" encoding="utf-8"?>
<ds:datastoreItem xmlns:ds="http://schemas.openxmlformats.org/officeDocument/2006/customXml" ds:itemID="{A443BB93-94A5-4CE5-A44F-173E00E238C3}">
  <ds:schemaRefs/>
</ds:datastoreItem>
</file>

<file path=customXml/itemProps5.xml><?xml version="1.0" encoding="utf-8"?>
<ds:datastoreItem xmlns:ds="http://schemas.openxmlformats.org/officeDocument/2006/customXml" ds:itemID="{D12FE1EA-AF57-4FC8-8D88-293269738141}">
  <ds:schemaRefs/>
</ds:datastoreItem>
</file>

<file path=customXml/itemProps6.xml><?xml version="1.0" encoding="utf-8"?>
<ds:datastoreItem xmlns:ds="http://schemas.openxmlformats.org/officeDocument/2006/customXml" ds:itemID="{E148F579-BB3E-4860-8C06-0FDB869C182F}">
  <ds:schemaRefs/>
</ds:datastoreItem>
</file>

<file path=customXml/itemProps7.xml><?xml version="1.0" encoding="utf-8"?>
<ds:datastoreItem xmlns:ds="http://schemas.openxmlformats.org/officeDocument/2006/customXml" ds:itemID="{76740E08-7494-4931-9802-06F8014811A7}">
  <ds:schemaRefs/>
</ds:datastoreItem>
</file>

<file path=customXml/itemProps8.xml><?xml version="1.0" encoding="utf-8"?>
<ds:datastoreItem xmlns:ds="http://schemas.openxmlformats.org/officeDocument/2006/customXml" ds:itemID="{6D816D92-8961-4510-B61E-C012D2E7C115}">
  <ds:schemaRefs/>
</ds:datastoreItem>
</file>

<file path=customXml/itemProps9.xml><?xml version="1.0" encoding="utf-8"?>
<ds:datastoreItem xmlns:ds="http://schemas.openxmlformats.org/officeDocument/2006/customXml" ds:itemID="{D03BF4E9-1EE9-40F0-BCE9-F84369FBF043}">
  <ds:schemaRefs/>
</ds:datastoreItem>
</file>

<file path=customXml/itemProps10.xml><?xml version="1.0" encoding="utf-8"?>
<ds:datastoreItem xmlns:ds="http://schemas.openxmlformats.org/officeDocument/2006/customXml" ds:itemID="{7F6A7E7C-2186-425B-A8C8-3A86FAC6B821}">
  <ds:schemaRefs/>
</ds:datastoreItem>
</file>

<file path=customXml/itemProps11.xml><?xml version="1.0" encoding="utf-8"?>
<ds:datastoreItem xmlns:ds="http://schemas.openxmlformats.org/officeDocument/2006/customXml" ds:itemID="{1E8F59D5-239A-4C09-832B-88C06D2EF6F6}">
  <ds:schemaRefs/>
</ds:datastoreItem>
</file>

<file path=customXml/itemProps12.xml><?xml version="1.0" encoding="utf-8"?>
<ds:datastoreItem xmlns:ds="http://schemas.openxmlformats.org/officeDocument/2006/customXml" ds:itemID="{55891F68-C440-4675-B4A3-1DDC78841029}">
  <ds:schemaRefs/>
</ds:datastoreItem>
</file>

<file path=customXml/itemProps13.xml><?xml version="1.0" encoding="utf-8"?>
<ds:datastoreItem xmlns:ds="http://schemas.openxmlformats.org/officeDocument/2006/customXml" ds:itemID="{74772DC1-F9E7-4CA5-A53A-D9BDF6C9475C}">
  <ds:schemaRefs/>
</ds:datastoreItem>
</file>

<file path=customXml/itemProps14.xml><?xml version="1.0" encoding="utf-8"?>
<ds:datastoreItem xmlns:ds="http://schemas.openxmlformats.org/officeDocument/2006/customXml" ds:itemID="{4B8689D9-1C4B-459C-B524-7DF1596B4E17}">
  <ds:schemaRefs/>
</ds:datastoreItem>
</file>

<file path=customXml/itemProps15.xml><?xml version="1.0" encoding="utf-8"?>
<ds:datastoreItem xmlns:ds="http://schemas.openxmlformats.org/officeDocument/2006/customXml" ds:itemID="{EEE27B11-593D-4B97-B1F7-1505D5932843}">
  <ds:schemaRefs/>
</ds:datastoreItem>
</file>

<file path=customXml/itemProps16.xml><?xml version="1.0" encoding="utf-8"?>
<ds:datastoreItem xmlns:ds="http://schemas.openxmlformats.org/officeDocument/2006/customXml" ds:itemID="{321EB0D8-7552-46C7-A65C-9A36EEA05BB9}">
  <ds:schemaRefs/>
</ds:datastoreItem>
</file>

<file path=customXml/itemProps17.xml><?xml version="1.0" encoding="utf-8"?>
<ds:datastoreItem xmlns:ds="http://schemas.openxmlformats.org/officeDocument/2006/customXml" ds:itemID="{7EC87E5D-F288-4B87-BB1D-C9C01F432D7E}">
  <ds:schemaRefs/>
</ds:datastoreItem>
</file>

<file path=customXml/itemProps18.xml><?xml version="1.0" encoding="utf-8"?>
<ds:datastoreItem xmlns:ds="http://schemas.openxmlformats.org/officeDocument/2006/customXml" ds:itemID="{2666B4EB-3864-434E-80D6-0525A5A3174F}">
  <ds:schemaRefs/>
</ds:datastoreItem>
</file>

<file path=customXml/itemProps19.xml><?xml version="1.0" encoding="utf-8"?>
<ds:datastoreItem xmlns:ds="http://schemas.openxmlformats.org/officeDocument/2006/customXml" ds:itemID="{F14BF188-E15F-4965-993A-B2C20E22CA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Fourniture Incorporable</vt:lpstr>
      <vt:lpstr>Stock QTD</vt:lpstr>
      <vt:lpstr>PF</vt:lpstr>
      <vt:lpstr>Var PF </vt:lpstr>
      <vt:lpstr>CAISSE</vt:lpstr>
      <vt:lpstr>EMBALLAGE BOITE</vt:lpstr>
      <vt:lpstr>Fact Tabel</vt:lpstr>
      <vt:lpstr>SEMI FINI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BEN KHALED</dc:creator>
  <cp:lastModifiedBy>ADMIN</cp:lastModifiedBy>
  <dcterms:created xsi:type="dcterms:W3CDTF">2015-06-05T18:17:20Z</dcterms:created>
  <dcterms:modified xsi:type="dcterms:W3CDTF">2026-01-05T17:56:38Z</dcterms:modified>
</cp:coreProperties>
</file>